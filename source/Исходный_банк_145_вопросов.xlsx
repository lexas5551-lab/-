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eeafb7e13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 ГОР 25" sheetId="1" r:id="Rd2f05becd2284463"/>
    <x:sheet xmlns:r="http://schemas.openxmlformats.org/officeDocument/2006/relationships" name="Тест ГНВП 1-25" sheetId="2" r:id="R49795e7c7dcf4163"/>
    <x:sheet xmlns:r="http://schemas.openxmlformats.org/officeDocument/2006/relationships" name="Тест ГНВП 26-50" sheetId="3" r:id="R4d6e904a9f3147e4"/>
    <x:sheet xmlns:r="http://schemas.openxmlformats.org/officeDocument/2006/relationships" name="Тест ГНВП 51-75" sheetId="4" r:id="R80ffd9e8e34e44b7"/>
    <x:sheet xmlns:r="http://schemas.openxmlformats.org/officeDocument/2006/relationships" name="Тест ГНВП 76-100" sheetId="5" r:id="R2c29b9cc81fb4a26"/>
    <x:sheet xmlns:r="http://schemas.openxmlformats.org/officeDocument/2006/relationships" name="Тест ГНВП 101-120" sheetId="6" r:id="R34d1bab232cf4047"/>
    <x:sheet xmlns:r="http://schemas.openxmlformats.org/officeDocument/2006/relationships" name="Банк ГНВП 120" sheetId="7" r:id="R86cc0f14b3ae42f1"/>
    <x:sheet xmlns:r="http://schemas.openxmlformats.org/officeDocument/2006/relationships" name="Ключ ГНВП 120" sheetId="8" r:id="R8d138b1bd6ae472e"/>
    <x:sheet xmlns:r="http://schemas.openxmlformats.org/officeDocument/2006/relationships" name="Банк ГОР 25" sheetId="9" r:id="R8169784e6d984c15"/>
    <x:sheet xmlns:r="http://schemas.openxmlformats.org/officeDocument/2006/relationships" name="Ключ ГОР 25" sheetId="10" r:id="R2c4706ce2da3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3333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  <x:font>
      <x:sz val="1"/>
      <x:color rgb="FFFFFFFF"/>
      <x:name val="Carlito"/>
    </x:font>
    <x:font>
      <x:i/>
      <x:sz val="11"/>
      <x:color rgb="FF555555"/>
      <x:name val="Carlito"/>
    </x:font>
    <x:font>
      <x:b/>
      <x:sz val="11"/>
      <x:color rgb="FF006100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2">
    <x:border/>
    <x:border/>
    <x:border>
      <x:left style="thin">
        <x:color rgb="FFC8D0D8"/>
      </x:left>
      <x:top style="thin">
        <x:color rgb="FFC8D0D8"/>
      </x:top>
    </x:border>
    <x:border>
      <x:top style="thin">
        <x:color rgb="FFC8D0D8"/>
      </x:top>
    </x:border>
    <x:border>
      <x:right style="thin">
        <x:color rgb="FFC8D0D8"/>
      </x:right>
      <x:top style="thin">
        <x:color rgb="FFC8D0D8"/>
      </x:top>
    </x:border>
    <x:border>
      <x:left style="thin">
        <x:color rgb="FFC8D0D8"/>
      </x:left>
      <x:bottom style="thin">
        <x:color rgb="FFC8D0D8"/>
      </x:bottom>
    </x:border>
    <x:border>
      <x:bottom style="thin">
        <x:color rgb="FFC8D0D8"/>
      </x:bottom>
    </x:border>
    <x:border>
      <x:right style="thin">
        <x:color rgb="FFC8D0D8"/>
      </x:right>
      <x:bottom style="thin">
        <x:color rgb="FFC8D0D8"/>
      </x:bottom>
    </x:border>
    <x:border>
      <x:left style="thin">
        <x:color rgb="FFC8D0D8"/>
      </x:left>
      <x:top style="thin">
        <x:color rgb="FFC8D0D8"/>
      </x:top>
    </x:border>
    <x:border>
      <x:top style="thin">
        <x:color rgb="FFC8D0D8"/>
      </x:top>
    </x:border>
    <x:border>
      <x:right style="thin">
        <x:color rgb="FFC8D0D8"/>
      </x:right>
      <x:top style="thin">
        <x:color rgb="FFC8D0D8"/>
      </x:top>
    </x:border>
    <x:border>
      <x:left style="thin">
        <x:color rgb="FFC8D0D8"/>
      </x:left>
      <x:bottom style="thin">
        <x:color rgb="FFC8D0D8"/>
      </x:bottom>
    </x:border>
    <x:border>
      <x:bottom style="thin">
        <x:color rgb="FFC8D0D8"/>
      </x:bottom>
    </x:border>
    <x:border>
      <x:right style="thin">
        <x:color rgb="FFC8D0D8"/>
      </x:right>
      <x:bottom style="thin">
        <x:color rgb="FFC8D0D8"/>
      </x:bottom>
    </x:border>
    <x:border>
      <x:left style="thin">
        <x:color rgb="FFC8D0D8"/>
      </x:left>
      <x:right style="thin">
        <x:color rgb="FFC8D0D8"/>
      </x:right>
      <x:top style="thin">
        <x:color rgb="FFC8D0D8"/>
      </x:top>
      <x:bottom style="thin">
        <x:color rgb="FFC8D0D8"/>
      </x:bottom>
    </x:border>
    <x:border>
      <x:left style="thin">
        <x:color rgb="FFC8D0D8"/>
      </x:left>
      <x:right style="thin">
        <x:color rgb="FFC8D0D8"/>
      </x:right>
      <x:top style="thin">
        <x:color rgb="FFC8D0D8"/>
      </x:top>
      <x:bottom style="thin">
        <x:color rgb="FFC8D0D8"/>
      </x:bottom>
    </x:border>
    <x:border>
      <x:left style="thin">
        <x:color rgb="FFC8D0D8"/>
      </x:left>
      <x:top style="thin">
        <x:color rgb="FFC8D0D8"/>
      </x:top>
      <x:bottom style="thin">
        <x:color rgb="FFC8D0D8"/>
      </x:bottom>
    </x:border>
    <x:border>
      <x:top style="thin">
        <x:color rgb="FFC8D0D8"/>
      </x:top>
      <x:bottom style="thin">
        <x:color rgb="FFC8D0D8"/>
      </x:bottom>
    </x:border>
    <x:border>
      <x:right style="thin">
        <x:color rgb="FFC8D0D8"/>
      </x:right>
      <x:top style="thin">
        <x:color rgb="FFC8D0D8"/>
      </x:top>
      <x:bottom style="thin">
        <x:color rgb="FFC8D0D8"/>
      </x:bottom>
    </x:border>
    <x:border>
      <x:left style="thin">
        <x:color rgb="FFC8D0D8"/>
      </x:left>
      <x:top style="thin">
        <x:color rgb="FFC8D0D8"/>
      </x:top>
      <x:bottom style="thin">
        <x:color rgb="FFC8D0D8"/>
      </x:bottom>
    </x:border>
    <x:border>
      <x:top style="thin">
        <x:color rgb="FFC8D0D8"/>
      </x:top>
      <x:bottom style="thin">
        <x:color rgb="FFC8D0D8"/>
      </x:bottom>
    </x:border>
    <x:border>
      <x:right style="thin">
        <x:color rgb="FFC8D0D8"/>
      </x:right>
      <x:top style="thin">
        <x:color rgb="FFC8D0D8"/>
      </x:top>
      <x:bottom style="thin">
        <x:color rgb="FFC8D0D8"/>
      </x:bottom>
    </x:border>
  </x:borders>
  <x:cellStyleXfs count="1">
    <x:xf numFmtId="0" fontId="0" fillId="0" borderId="0"/>
  </x:cellStyleXfs>
  <x:cellXfs count="3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3" fillId="6" borderId="6" xfId="0" applyNumberFormat="1" applyFont="1" applyFill="1" applyBorder="1" applyAlignment="1">
      <x:alignment vertical="center" wrapText="1"/>
    </x:xf>
    <x:xf numFmtId="0" fontId="3" fillId="6" borderId="7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3" fillId="6" borderId="12" xfId="0" applyNumberFormat="1" applyFont="1" applyFill="1" applyBorder="1"/>
    <x:xf numFmtId="0" fontId="3" fillId="6" borderId="13" xfId="0" applyNumberFormat="1" applyFont="1" applyFill="1" applyBorder="1"/>
    <x:xf numFmtId="0" fontId="3" fillId="6" borderId="8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wrapText="1"/>
    </x:xf>
    <x:xf numFmtId="0" fontId="3" fillId="6" borderId="1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wrapText="1"/>
    </x:xf>
    <x:xf numFmtId="0" fontId="3" fillId="6" borderId="12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vertical="center" wrapText="1"/>
    </x:xf>
    <x:xf numFmtId="0" fontId="3" fillId="6" borderId="9" xfId="0" applyNumberFormat="1" applyFont="1" applyFill="1" applyBorder="1" applyAlignment="1">
      <x:alignment vertical="center" wrapText="1"/>
    </x:xf>
    <x:xf numFmtId="0" fontId="3" fillId="6" borderId="10" xfId="0" applyNumberFormat="1" applyFont="1" applyFill="1" applyBorder="1" applyAlignment="1">
      <x:alignment vertical="center"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0" fontId="3" fillId="6" borderId="1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4" xfId="0" applyNumberFormat="1" applyFont="1" applyFill="1" applyBorder="1"/>
    <x:xf numFmtId="0" fontId="3" fillId="7" borderId="14" xfId="0" applyNumberFormat="1" applyFont="1" applyFill="1" applyBorder="1" applyAlignment="1">
      <x:alignment horizontal="center"/>
    </x:xf>
    <x:xf numFmtId="0" fontId="3" fillId="7" borderId="14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5" xfId="0" applyNumberFormat="1" applyFont="1" applyFill="1" applyBorder="1"/>
    <x:xf numFmtId="0" fontId="3" fillId="7" borderId="15" xfId="0" applyNumberFormat="1" applyFont="1" applyFill="1" applyBorder="1" applyAlignment="1">
      <x:alignment horizontal="center"/>
    </x:xf>
    <x:xf numFmtId="0" fontId="3" fillId="7" borderId="15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9" xfId="0" applyNumberFormat="1" applyFont="1" applyFill="1" applyBorder="1"/>
    <x:xf numFmtId="0" fontId="6" fillId="0" borderId="20" xfId="0" applyNumberFormat="1" applyFont="1" applyFill="1" applyBorder="1"/>
    <x:xf numFmtId="0" fontId="6" fillId="0" borderId="21" xfId="0" applyNumberFormat="1" applyFont="1" applyFill="1" applyBorder="1"/>
    <x:xf numFmtId="0" fontId="6" fillId="0" borderId="19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vertical="center" wrapText="1"/>
    </x:xf>
    <x:xf numFmtId="0" fontId="6" fillId="0" borderId="20" xfId="0" applyNumberFormat="1" applyFont="1" applyFill="1" applyBorder="1" applyAlignment="1">
      <x:alignment vertical="center" wrapText="1"/>
    </x:xf>
    <x:xf numFmtId="0" fontId="6" fillId="0" borderId="21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/>
    <x:xf numFmtId="0" fontId="3" fillId="4" borderId="18" xfId="0" applyNumberFormat="1" applyFont="1" applyFill="1" applyBorder="1"/>
    <x:xf numFmtId="0" fontId="3" fillId="4" borderId="16" xfId="0" applyNumberFormat="1" applyFont="1" applyFill="1" applyBorder="1" applyAlignment="1">
      <x:alignment horizontal="center"/>
    </x:xf>
    <x:xf numFmtId="0" fontId="3" fillId="4" borderId="18" xfId="0" applyNumberFormat="1" applyFont="1" applyFill="1" applyBorder="1" applyAlignment="1">
      <x:alignment horizontal="center"/>
    </x:xf>
    <x:xf numFmtId="0" fontId="3" fillId="4" borderId="16" xfId="0" applyNumberFormat="1" applyFont="1" applyFill="1" applyBorder="1" applyAlignment="1">
      <x:alignment horizontal="center" vertical="center"/>
    </x:xf>
    <x:xf numFmtId="0" fontId="3" fillId="4" borderId="18" xfId="0" applyNumberFormat="1" applyFont="1" applyFill="1" applyBorder="1" applyAlignment="1">
      <x:alignment horizontal="center" vertical="center"/>
    </x:xf>
    <x:xf numFmtId="0" fontId="3" fillId="4" borderId="19" xfId="0" applyNumberFormat="1" applyFont="1" applyFill="1" applyBorder="1"/>
    <x:xf numFmtId="0" fontId="3" fillId="4" borderId="21" xfId="0" applyNumberFormat="1" applyFont="1" applyFill="1" applyBorder="1"/>
    <x:xf numFmtId="0" fontId="3" fillId="4" borderId="19" xfId="0" applyNumberFormat="1" applyFont="1" applyFill="1" applyBorder="1" applyAlignment="1">
      <x:alignment horizontal="center"/>
    </x:xf>
    <x:xf numFmtId="0" fontId="3" fillId="4" borderId="21" xfId="0" applyNumberFormat="1" applyFont="1" applyFill="1" applyBorder="1" applyAlignment="1">
      <x:alignment horizontal="center"/>
    </x:xf>
    <x:xf numFmtId="0" fontId="3" fillId="4" borderId="19" xfId="0" applyNumberFormat="1" applyFont="1" applyFill="1" applyBorder="1" applyAlignment="1">
      <x:alignment horizontal="center" vertical="center"/>
    </x:xf>
    <x:xf numFmtId="0" fontId="3" fillId="4" borderId="2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6" xfId="0" applyNumberFormat="1" applyFont="1" applyFill="1" applyBorder="1"/>
    <x:xf numFmtId="0" fontId="3" fillId="8" borderId="17" xfId="0" applyNumberFormat="1" applyFont="1" applyFill="1" applyBorder="1"/>
    <x:xf numFmtId="0" fontId="3" fillId="8" borderId="18" xfId="0" applyNumberFormat="1" applyFont="1" applyFill="1" applyBorder="1"/>
    <x:xf numFmtId="0" fontId="3" fillId="8" borderId="16" xfId="0" applyNumberFormat="1" applyFont="1" applyFill="1" applyBorder="1" applyAlignment="1">
      <x:alignment horizontal="center"/>
    </x:xf>
    <x:xf numFmtId="0" fontId="3" fillId="8" borderId="17" xfId="0" applyNumberFormat="1" applyFont="1" applyFill="1" applyBorder="1" applyAlignment="1">
      <x:alignment horizontal="center"/>
    </x:xf>
    <x:xf numFmtId="0" fontId="3" fillId="8" borderId="18" xfId="0" applyNumberFormat="1" applyFont="1" applyFill="1" applyBorder="1" applyAlignment="1">
      <x:alignment horizontal="center"/>
    </x:xf>
    <x:xf numFmtId="0" fontId="3" fillId="8" borderId="16" xfId="0" applyNumberFormat="1" applyFont="1" applyFill="1" applyBorder="1" applyAlignment="1">
      <x:alignment horizontal="center" vertical="center"/>
    </x:xf>
    <x:xf numFmtId="0" fontId="3" fillId="8" borderId="17" xfId="0" applyNumberFormat="1" applyFont="1" applyFill="1" applyBorder="1" applyAlignment="1">
      <x:alignment horizontal="center" vertical="center"/>
    </x:xf>
    <x:xf numFmtId="0" fontId="3" fillId="8" borderId="18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9" xfId="0" applyNumberFormat="1" applyFont="1" applyFill="1" applyBorder="1"/>
    <x:xf numFmtId="0" fontId="3" fillId="8" borderId="20" xfId="0" applyNumberFormat="1" applyFont="1" applyFill="1" applyBorder="1"/>
    <x:xf numFmtId="0" fontId="3" fillId="8" borderId="21" xfId="0" applyNumberFormat="1" applyFont="1" applyFill="1" applyBorder="1"/>
    <x:xf numFmtId="0" fontId="3" fillId="8" borderId="19" xfId="0" applyNumberFormat="1" applyFont="1" applyFill="1" applyBorder="1" applyAlignment="1">
      <x:alignment horizontal="center"/>
    </x:xf>
    <x:xf numFmtId="0" fontId="3" fillId="8" borderId="20" xfId="0" applyNumberFormat="1" applyFont="1" applyFill="1" applyBorder="1" applyAlignment="1">
      <x:alignment horizontal="center"/>
    </x:xf>
    <x:xf numFmtId="0" fontId="3" fillId="8" borderId="21" xfId="0" applyNumberFormat="1" applyFont="1" applyFill="1" applyBorder="1" applyAlignment="1">
      <x:alignment horizontal="center"/>
    </x:xf>
    <x:xf numFmtId="0" fontId="3" fillId="8" borderId="19" xfId="0" applyNumberFormat="1" applyFont="1" applyFill="1" applyBorder="1" applyAlignment="1">
      <x:alignment horizontal="center" vertical="center"/>
    </x:xf>
    <x:xf numFmtId="0" fontId="3" fillId="8" borderId="20" xfId="0" applyNumberFormat="1" applyFont="1" applyFill="1" applyBorder="1" applyAlignment="1">
      <x:alignment horizontal="center" vertical="center"/>
    </x:xf>
    <x:xf numFmtId="0" fontId="3" fillId="8" borderId="2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6" xfId="0" applyNumberFormat="1" applyFont="1" applyFill="1" applyBorder="1"/>
    <x:xf numFmtId="0" fontId="3" fillId="9" borderId="18" xfId="0" applyNumberFormat="1" applyFont="1" applyFill="1" applyBorder="1"/>
    <x:xf numFmtId="0" fontId="3" fillId="9" borderId="16" xfId="0" applyNumberFormat="1" applyFont="1" applyFill="1" applyBorder="1" applyAlignment="1">
      <x:alignment horizontal="center"/>
    </x:xf>
    <x:xf numFmtId="0" fontId="3" fillId="9" borderId="18" xfId="0" applyNumberFormat="1" applyFont="1" applyFill="1" applyBorder="1" applyAlignment="1">
      <x:alignment horizontal="center"/>
    </x:xf>
    <x:xf numFmtId="0" fontId="3" fillId="9" borderId="16" xfId="0" applyNumberFormat="1" applyFont="1" applyFill="1" applyBorder="1" applyAlignment="1">
      <x:alignment horizontal="center" vertical="center"/>
    </x:xf>
    <x:xf numFmtId="0" fontId="3" fillId="9" borderId="18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9" xfId="0" applyNumberFormat="1" applyFont="1" applyFill="1" applyBorder="1"/>
    <x:xf numFmtId="0" fontId="3" fillId="9" borderId="21" xfId="0" applyNumberFormat="1" applyFont="1" applyFill="1" applyBorder="1"/>
    <x:xf numFmtId="0" fontId="3" fillId="9" borderId="19" xfId="0" applyNumberFormat="1" applyFont="1" applyFill="1" applyBorder="1" applyAlignment="1">
      <x:alignment horizontal="center"/>
    </x:xf>
    <x:xf numFmtId="0" fontId="3" fillId="9" borderId="21" xfId="0" applyNumberFormat="1" applyFont="1" applyFill="1" applyBorder="1" applyAlignment="1">
      <x:alignment horizontal="center"/>
    </x:xf>
    <x:xf numFmtId="0" fontId="3" fillId="9" borderId="19" xfId="0" applyNumberFormat="1" applyFont="1" applyFill="1" applyBorder="1" applyAlignment="1">
      <x:alignment horizontal="center" vertical="center"/>
    </x:xf>
    <x:xf numFmtId="0" fontId="3" fillId="9" borderId="2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2" xfId="0" applyNumberFormat="1" applyFont="1" applyFill="1" applyBorder="1"/>
    <x:xf numFmtId="0" fontId="7" fillId="10" borderId="3" xfId="0" applyNumberFormat="1" applyFont="1" applyFill="1" applyBorder="1"/>
    <x:xf numFmtId="0" fontId="7" fillId="10" borderId="4" xfId="0" applyNumberFormat="1" applyFont="1" applyFill="1" applyBorder="1"/>
    <x:xf numFmtId="0" fontId="7" fillId="10" borderId="5" xfId="0" applyNumberFormat="1" applyFont="1" applyFill="1" applyBorder="1"/>
    <x:xf numFmtId="0" fontId="7" fillId="10" borderId="6" xfId="0" applyNumberFormat="1" applyFont="1" applyFill="1" applyBorder="1"/>
    <x:xf numFmtId="0" fontId="7" fillId="10" borderId="7" xfId="0" applyNumberFormat="1" applyFont="1" applyFill="1" applyBorder="1"/>
    <x:xf numFmtId="0" fontId="7" fillId="10" borderId="2" xfId="0" applyNumberFormat="1" applyFont="1" applyFill="1" applyBorder="1" applyAlignment="1">
      <x:alignment wrapText="1"/>
    </x:xf>
    <x:xf numFmtId="0" fontId="7" fillId="10" borderId="3" xfId="0" applyNumberFormat="1" applyFont="1" applyFill="1" applyBorder="1" applyAlignment="1">
      <x:alignment wrapText="1"/>
    </x:xf>
    <x:xf numFmtId="0" fontId="7" fillId="10" borderId="4" xfId="0" applyNumberFormat="1" applyFont="1" applyFill="1" applyBorder="1" applyAlignment="1">
      <x:alignment wrapText="1"/>
    </x:xf>
    <x:xf numFmtId="0" fontId="7" fillId="10" borderId="5" xfId="0" applyNumberFormat="1" applyFont="1" applyFill="1" applyBorder="1" applyAlignment="1">
      <x:alignment wrapText="1"/>
    </x:xf>
    <x:xf numFmtId="0" fontId="7" fillId="10" borderId="6" xfId="0" applyNumberFormat="1" applyFont="1" applyFill="1" applyBorder="1" applyAlignment="1">
      <x:alignment wrapText="1"/>
    </x:xf>
    <x:xf numFmtId="0" fontId="7" fillId="10" borderId="7" xfId="0" applyNumberFormat="1" applyFont="1" applyFill="1" applyBorder="1" applyAlignment="1">
      <x:alignment wrapText="1"/>
    </x:xf>
    <x:xf numFmtId="0" fontId="7" fillId="10" borderId="2" xfId="0" applyNumberFormat="1" applyFont="1" applyFill="1" applyBorder="1" applyAlignment="1">
      <x:alignment vertical="center" wrapText="1"/>
    </x:xf>
    <x:xf numFmtId="0" fontId="7" fillId="10" borderId="3" xfId="0" applyNumberFormat="1" applyFont="1" applyFill="1" applyBorder="1" applyAlignment="1">
      <x:alignment vertical="center" wrapText="1"/>
    </x:xf>
    <x:xf numFmtId="0" fontId="7" fillId="10" borderId="4" xfId="0" applyNumberFormat="1" applyFont="1" applyFill="1" applyBorder="1" applyAlignment="1">
      <x:alignment vertical="center" wrapText="1"/>
    </x:xf>
    <x:xf numFmtId="0" fontId="7" fillId="10" borderId="5" xfId="0" applyNumberFormat="1" applyFont="1" applyFill="1" applyBorder="1" applyAlignment="1">
      <x:alignment vertical="center" wrapText="1"/>
    </x:xf>
    <x:xf numFmtId="0" fontId="7" fillId="10" borderId="6" xfId="0" applyNumberFormat="1" applyFont="1" applyFill="1" applyBorder="1" applyAlignment="1">
      <x:alignment vertical="center" wrapText="1"/>
    </x:xf>
    <x:xf numFmtId="0" fontId="7" fillId="10" borderId="7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8" xfId="0" applyNumberFormat="1" applyFont="1" applyFill="1" applyBorder="1"/>
    <x:xf numFmtId="0" fontId="7" fillId="10" borderId="9" xfId="0" applyNumberFormat="1" applyFont="1" applyFill="1" applyBorder="1"/>
    <x:xf numFmtId="0" fontId="7" fillId="10" borderId="10" xfId="0" applyNumberFormat="1" applyFont="1" applyFill="1" applyBorder="1"/>
    <x:xf numFmtId="0" fontId="7" fillId="10" borderId="11" xfId="0" applyNumberFormat="1" applyFont="1" applyFill="1" applyBorder="1"/>
    <x:xf numFmtId="0" fontId="7" fillId="10" borderId="12" xfId="0" applyNumberFormat="1" applyFont="1" applyFill="1" applyBorder="1"/>
    <x:xf numFmtId="0" fontId="7" fillId="10" borderId="13" xfId="0" applyNumberFormat="1" applyFont="1" applyFill="1" applyBorder="1"/>
    <x:xf numFmtId="0" fontId="7" fillId="10" borderId="8" xfId="0" applyNumberFormat="1" applyFont="1" applyFill="1" applyBorder="1" applyAlignment="1">
      <x:alignment wrapText="1"/>
    </x:xf>
    <x:xf numFmtId="0" fontId="7" fillId="10" borderId="9" xfId="0" applyNumberFormat="1" applyFont="1" applyFill="1" applyBorder="1" applyAlignment="1">
      <x:alignment wrapText="1"/>
    </x:xf>
    <x:xf numFmtId="0" fontId="7" fillId="10" borderId="10" xfId="0" applyNumberFormat="1" applyFont="1" applyFill="1" applyBorder="1" applyAlignment="1">
      <x:alignment wrapText="1"/>
    </x:xf>
    <x:xf numFmtId="0" fontId="7" fillId="10" borderId="11" xfId="0" applyNumberFormat="1" applyFont="1" applyFill="1" applyBorder="1" applyAlignment="1">
      <x:alignment wrapText="1"/>
    </x:xf>
    <x:xf numFmtId="0" fontId="7" fillId="10" borderId="12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0" fontId="7" fillId="10" borderId="8" xfId="0" applyNumberFormat="1" applyFont="1" applyFill="1" applyBorder="1" applyAlignment="1">
      <x:alignment vertical="center" wrapText="1"/>
    </x:xf>
    <x:xf numFmtId="0" fontId="7" fillId="10" borderId="9" xfId="0" applyNumberFormat="1" applyFont="1" applyFill="1" applyBorder="1" applyAlignment="1">
      <x:alignment vertical="center" wrapText="1"/>
    </x:xf>
    <x:xf numFmtId="0" fontId="7" fillId="10" borderId="10" xfId="0" applyNumberFormat="1" applyFont="1" applyFill="1" applyBorder="1" applyAlignment="1">
      <x:alignment vertical="center" wrapText="1"/>
    </x:xf>
    <x:xf numFmtId="0" fontId="7" fillId="10" borderId="11" xfId="0" applyNumberFormat="1" applyFont="1" applyFill="1" applyBorder="1" applyAlignment="1">
      <x:alignment vertical="center" wrapText="1"/>
    </x:xf>
    <x:xf numFmtId="0" fontId="7" fillId="10" borderId="12" xfId="0" applyNumberFormat="1" applyFont="1" applyFill="1" applyBorder="1" applyAlignment="1">
      <x:alignment vertical="center" wrapText="1"/>
    </x:xf>
    <x:xf numFmtId="0" fontId="7" fillId="10" borderId="13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2" xfId="0" applyNumberFormat="1" applyFont="1" applyFill="1" applyBorder="1"/>
    <x:xf numFmtId="0" fontId="3" fillId="16" borderId="3" xfId="0" applyNumberFormat="1" applyFont="1" applyFill="1" applyBorder="1"/>
    <x:xf numFmtId="0" fontId="3" fillId="16" borderId="4" xfId="0" applyNumberFormat="1" applyFont="1" applyFill="1" applyBorder="1"/>
    <x:xf numFmtId="0" fontId="3" fillId="16" borderId="5" xfId="0" applyNumberFormat="1" applyFont="1" applyFill="1" applyBorder="1"/>
    <x:xf numFmtId="0" fontId="3" fillId="16" borderId="6" xfId="0" applyNumberFormat="1" applyFont="1" applyFill="1" applyBorder="1"/>
    <x:xf numFmtId="0" fontId="3" fillId="16" borderId="7" xfId="0" applyNumberFormat="1" applyFont="1" applyFill="1" applyBorder="1"/>
    <x:xf numFmtId="0" fontId="3" fillId="16" borderId="2" xfId="0" applyNumberFormat="1" applyFont="1" applyFill="1" applyBorder="1" applyAlignment="1">
      <x:alignment wrapText="1"/>
    </x:xf>
    <x:xf numFmtId="0" fontId="3" fillId="16" borderId="3" xfId="0" applyNumberFormat="1" applyFont="1" applyFill="1" applyBorder="1" applyAlignment="1">
      <x:alignment wrapText="1"/>
    </x:xf>
    <x:xf numFmtId="0" fontId="3" fillId="16" borderId="4" xfId="0" applyNumberFormat="1" applyFont="1" applyFill="1" applyBorder="1" applyAlignment="1">
      <x:alignment wrapText="1"/>
    </x:xf>
    <x:xf numFmtId="0" fontId="3" fillId="16" borderId="5" xfId="0" applyNumberFormat="1" applyFont="1" applyFill="1" applyBorder="1" applyAlignment="1">
      <x:alignment wrapText="1"/>
    </x:xf>
    <x:xf numFmtId="0" fontId="3" fillId="16" borderId="6" xfId="0" applyNumberFormat="1" applyFont="1" applyFill="1" applyBorder="1" applyAlignment="1">
      <x:alignment wrapText="1"/>
    </x:xf>
    <x:xf numFmtId="0" fontId="3" fillId="16" borderId="7" xfId="0" applyNumberFormat="1" applyFont="1" applyFill="1" applyBorder="1" applyAlignment="1">
      <x:alignment wrapText="1"/>
    </x:xf>
    <x:xf numFmtId="0" fontId="3" fillId="16" borderId="2" xfId="0" applyNumberFormat="1" applyFont="1" applyFill="1" applyBorder="1" applyAlignment="1">
      <x:alignment vertical="center" wrapText="1"/>
    </x:xf>
    <x:xf numFmtId="0" fontId="3" fillId="16" borderId="3" xfId="0" applyNumberFormat="1" applyFont="1" applyFill="1" applyBorder="1" applyAlignment="1">
      <x:alignment vertical="center" wrapText="1"/>
    </x:xf>
    <x:xf numFmtId="0" fontId="3" fillId="16" borderId="4" xfId="0" applyNumberFormat="1" applyFont="1" applyFill="1" applyBorder="1" applyAlignment="1">
      <x:alignment vertical="center" wrapText="1"/>
    </x:xf>
    <x:xf numFmtId="0" fontId="3" fillId="16" borderId="5" xfId="0" applyNumberFormat="1" applyFont="1" applyFill="1" applyBorder="1" applyAlignment="1">
      <x:alignment vertical="center" wrapText="1"/>
    </x:xf>
    <x:xf numFmtId="0" fontId="3" fillId="16" borderId="6" xfId="0" applyNumberFormat="1" applyFont="1" applyFill="1" applyBorder="1" applyAlignment="1">
      <x:alignment vertical="center" wrapText="1"/>
    </x:xf>
    <x:xf numFmtId="0" fontId="3" fillId="16" borderId="7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14" xfId="0" applyNumberFormat="1" applyFont="1" applyFill="1" applyBorder="1"/>
    <x:xf numFmtId="0" fontId="3" fillId="17" borderId="14" xfId="0" applyNumberFormat="1" applyFont="1" applyFill="1" applyBorder="1" applyAlignment="1">
      <x:alignment horizontal="center"/>
    </x:xf>
    <x:xf numFmtId="0" fontId="3" fillId="17" borderId="14" xfId="0" applyNumberFormat="1" applyFont="1" applyFill="1" applyBorder="1" applyAlignment="1">
      <x:alignment horizontal="center" vertical="center"/>
    </x:xf>
    <x:xf numFmtId="0" fontId="3" fillId="14" borderId="16" xfId="0" applyNumberFormat="1" applyFont="1" applyFill="1" applyBorder="1"/>
    <x:xf numFmtId="0" fontId="3" fillId="14" borderId="18" xfId="0" applyNumberFormat="1" applyFont="1" applyFill="1" applyBorder="1"/>
    <x:xf numFmtId="0" fontId="3" fillId="14" borderId="16" xfId="0" applyNumberFormat="1" applyFont="1" applyFill="1" applyBorder="1" applyAlignment="1">
      <x:alignment horizontal="center"/>
    </x:xf>
    <x:xf numFmtId="0" fontId="3" fillId="14" borderId="18" xfId="0" applyNumberFormat="1" applyFont="1" applyFill="1" applyBorder="1" applyAlignment="1">
      <x:alignment horizontal="center"/>
    </x:xf>
    <x:xf numFmtId="0" fontId="3" fillId="14" borderId="16" xfId="0" applyNumberFormat="1" applyFont="1" applyFill="1" applyBorder="1" applyAlignment="1">
      <x:alignment horizontal="center" vertical="center"/>
    </x:xf>
    <x:xf numFmtId="0" fontId="3" fillId="14" borderId="18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16" xfId="0" applyNumberFormat="1" applyFont="1" applyFill="1" applyBorder="1"/>
    <x:xf numFmtId="0" fontId="3" fillId="18" borderId="17" xfId="0" applyNumberFormat="1" applyFont="1" applyFill="1" applyBorder="1"/>
    <x:xf numFmtId="0" fontId="3" fillId="18" borderId="18" xfId="0" applyNumberFormat="1" applyFont="1" applyFill="1" applyBorder="1"/>
    <x:xf numFmtId="0" fontId="3" fillId="18" borderId="16" xfId="0" applyNumberFormat="1" applyFont="1" applyFill="1" applyBorder="1" applyAlignment="1">
      <x:alignment horizontal="center"/>
    </x:xf>
    <x:xf numFmtId="0" fontId="3" fillId="18" borderId="17" xfId="0" applyNumberFormat="1" applyFont="1" applyFill="1" applyBorder="1" applyAlignment="1">
      <x:alignment horizontal="center"/>
    </x:xf>
    <x:xf numFmtId="0" fontId="3" fillId="18" borderId="18" xfId="0" applyNumberFormat="1" applyFont="1" applyFill="1" applyBorder="1" applyAlignment="1">
      <x:alignment horizontal="center"/>
    </x:xf>
    <x:xf numFmtId="0" fontId="3" fillId="18" borderId="16" xfId="0" applyNumberFormat="1" applyFont="1" applyFill="1" applyBorder="1" applyAlignment="1">
      <x:alignment horizontal="center" vertical="center"/>
    </x:xf>
    <x:xf numFmtId="0" fontId="3" fillId="18" borderId="17" xfId="0" applyNumberFormat="1" applyFont="1" applyFill="1" applyBorder="1" applyAlignment="1">
      <x:alignment horizontal="center" vertical="center"/>
    </x:xf>
    <x:xf numFmtId="0" fontId="3" fillId="18" borderId="18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2" xfId="0" applyNumberFormat="1" applyFont="1" applyFill="1" applyBorder="1"/>
    <x:xf numFmtId="0" fontId="3" fillId="19" borderId="4" xfId="0" applyNumberFormat="1" applyFont="1" applyFill="1" applyBorder="1"/>
    <x:xf numFmtId="0" fontId="3" fillId="19" borderId="5" xfId="0" applyNumberFormat="1" applyFont="1" applyFill="1" applyBorder="1"/>
    <x:xf numFmtId="0" fontId="3" fillId="19" borderId="7" xfId="0" applyNumberFormat="1" applyFont="1" applyFill="1" applyBorder="1"/>
    <x:xf numFmtId="0" fontId="3" fillId="19" borderId="2" xfId="0" applyNumberFormat="1" applyFont="1" applyFill="1" applyBorder="1" applyAlignment="1">
      <x:alignment horizontal="center"/>
    </x:xf>
    <x:xf numFmtId="0" fontId="3" fillId="19" borderId="4" xfId="0" applyNumberFormat="1" applyFont="1" applyFill="1" applyBorder="1" applyAlignment="1">
      <x:alignment horizontal="center"/>
    </x:xf>
    <x:xf numFmtId="0" fontId="3" fillId="19" borderId="5" xfId="0" applyNumberFormat="1" applyFont="1" applyFill="1" applyBorder="1" applyAlignment="1">
      <x:alignment horizontal="center"/>
    </x:xf>
    <x:xf numFmtId="0" fontId="3" fillId="19" borderId="7" xfId="0" applyNumberFormat="1" applyFont="1" applyFill="1" applyBorder="1" applyAlignment="1">
      <x:alignment horizontal="center"/>
    </x:xf>
    <x:xf numFmtId="0" fontId="3" fillId="19" borderId="2" xfId="0" applyNumberFormat="1" applyFont="1" applyFill="1" applyBorder="1" applyAlignment="1">
      <x:alignment horizontal="center" vertical="center"/>
    </x:xf>
    <x:xf numFmtId="0" fontId="3" fillId="19" borderId="4" xfId="0" applyNumberFormat="1" applyFont="1" applyFill="1" applyBorder="1" applyAlignment="1">
      <x:alignment horizontal="center" vertical="center"/>
    </x:xf>
    <x:xf numFmtId="0" fontId="3" fillId="19" borderId="5" xfId="0" applyNumberFormat="1" applyFont="1" applyFill="1" applyBorder="1" applyAlignment="1">
      <x:alignment horizontal="center" vertical="center"/>
    </x:xf>
    <x:xf numFmtId="0" fontId="3" fillId="19" borderId="7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7" fillId="20" borderId="0" xfId="0" applyNumberFormat="1" applyFont="1" applyFill="1" applyBorder="1"/>
    <x:xf numFmtId="0" fontId="7" fillId="20" borderId="2" xfId="0" applyNumberFormat="1" applyFont="1" applyFill="1" applyBorder="1"/>
    <x:xf numFmtId="0" fontId="7" fillId="20" borderId="3" xfId="0" applyNumberFormat="1" applyFont="1" applyFill="1" applyBorder="1"/>
    <x:xf numFmtId="0" fontId="7" fillId="20" borderId="4" xfId="0" applyNumberFormat="1" applyFont="1" applyFill="1" applyBorder="1"/>
    <x:xf numFmtId="0" fontId="7" fillId="20" borderId="5" xfId="0" applyNumberFormat="1" applyFont="1" applyFill="1" applyBorder="1"/>
    <x:xf numFmtId="0" fontId="7" fillId="20" borderId="6" xfId="0" applyNumberFormat="1" applyFont="1" applyFill="1" applyBorder="1"/>
    <x:xf numFmtId="0" fontId="7" fillId="20" borderId="7" xfId="0" applyNumberFormat="1" applyFont="1" applyFill="1" applyBorder="1"/>
    <x:xf numFmtId="0" fontId="7" fillId="20" borderId="2" xfId="0" applyNumberFormat="1" applyFont="1" applyFill="1" applyBorder="1" applyAlignment="1">
      <x:alignment wrapText="1"/>
    </x:xf>
    <x:xf numFmtId="0" fontId="7" fillId="20" borderId="3" xfId="0" applyNumberFormat="1" applyFont="1" applyFill="1" applyBorder="1" applyAlignment="1">
      <x:alignment wrapText="1"/>
    </x:xf>
    <x:xf numFmtId="0" fontId="7" fillId="20" borderId="4" xfId="0" applyNumberFormat="1" applyFont="1" applyFill="1" applyBorder="1" applyAlignment="1">
      <x:alignment wrapText="1"/>
    </x:xf>
    <x:xf numFmtId="0" fontId="7" fillId="20" borderId="5" xfId="0" applyNumberFormat="1" applyFont="1" applyFill="1" applyBorder="1" applyAlignment="1">
      <x:alignment wrapText="1"/>
    </x:xf>
    <x:xf numFmtId="0" fontId="7" fillId="20" borderId="6" xfId="0" applyNumberFormat="1" applyFont="1" applyFill="1" applyBorder="1" applyAlignment="1">
      <x:alignment wrapText="1"/>
    </x:xf>
    <x:xf numFmtId="0" fontId="7" fillId="20" borderId="7" xfId="0" applyNumberFormat="1" applyFont="1" applyFill="1" applyBorder="1" applyAlignment="1">
      <x:alignment wrapText="1"/>
    </x:xf>
    <x:xf numFmtId="0" fontId="7" fillId="20" borderId="2" xfId="0" applyNumberFormat="1" applyFont="1" applyFill="1" applyBorder="1" applyAlignment="1">
      <x:alignment vertical="center" wrapText="1"/>
    </x:xf>
    <x:xf numFmtId="0" fontId="7" fillId="20" borderId="3" xfId="0" applyNumberFormat="1" applyFont="1" applyFill="1" applyBorder="1" applyAlignment="1">
      <x:alignment vertical="center" wrapText="1"/>
    </x:xf>
    <x:xf numFmtId="0" fontId="7" fillId="20" borderId="4" xfId="0" applyNumberFormat="1" applyFont="1" applyFill="1" applyBorder="1" applyAlignment="1">
      <x:alignment vertical="center" wrapText="1"/>
    </x:xf>
    <x:xf numFmtId="0" fontId="7" fillId="20" borderId="5" xfId="0" applyNumberFormat="1" applyFont="1" applyFill="1" applyBorder="1" applyAlignment="1">
      <x:alignment vertical="center" wrapText="1"/>
    </x:xf>
    <x:xf numFmtId="0" fontId="7" fillId="20" borderId="6" xfId="0" applyNumberFormat="1" applyFont="1" applyFill="1" applyBorder="1" applyAlignment="1">
      <x:alignment vertical="center" wrapText="1"/>
    </x:xf>
    <x:xf numFmtId="0" fontId="7" fillId="20" borderId="7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10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wrapText="1"/>
    </x:xf>
    <x:xf numFmtId="0" fontId="3" fillId="9" borderId="2" xfId="0" applyNumberFormat="1" applyFont="1" applyFill="1" applyBorder="1"/>
    <x:xf numFmtId="0" fontId="3" fillId="9" borderId="4" xfId="0" applyNumberFormat="1" applyFont="1" applyFill="1" applyBorder="1"/>
    <x:xf numFmtId="0" fontId="3" fillId="9" borderId="5" xfId="0" applyNumberFormat="1" applyFont="1" applyFill="1" applyBorder="1"/>
    <x:xf numFmtId="0" fontId="3" fillId="9" borderId="7" xfId="0" applyNumberFormat="1" applyFont="1" applyFill="1" applyBorder="1"/>
    <x:xf numFmtId="0" fontId="3" fillId="9" borderId="2" xfId="0" applyNumberFormat="1" applyFont="1" applyFill="1" applyBorder="1" applyAlignment="1">
      <x:alignment horizontal="center"/>
    </x:xf>
    <x:xf numFmtId="0" fontId="3" fillId="9" borderId="4" xfId="0" applyNumberFormat="1" applyFont="1" applyFill="1" applyBorder="1" applyAlignment="1">
      <x:alignment horizontal="center"/>
    </x:xf>
    <x:xf numFmtId="0" fontId="3" fillId="9" borderId="5" xfId="0" applyNumberFormat="1" applyFont="1" applyFill="1" applyBorder="1" applyAlignment="1">
      <x:alignment horizontal="center"/>
    </x:xf>
    <x:xf numFmtId="0" fontId="3" fillId="9" borderId="7" xfId="0" applyNumberFormat="1" applyFont="1" applyFill="1" applyBorder="1" applyAlignment="1">
      <x:alignment horizont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4" xfId="0" applyNumberFormat="1" applyFont="1" applyFill="1" applyBorder="1" applyAlignment="1">
      <x:alignment horizontal="center" vertical="center"/>
    </x:xf>
    <x:xf numFmtId="0" fontId="3" fillId="9" borderId="5" xfId="0" applyNumberFormat="1" applyFont="1" applyFill="1" applyBorder="1" applyAlignment="1">
      <x:alignment horizontal="center" vertical="center"/>
    </x:xf>
    <x:xf numFmtId="0" fontId="3" fillId="9" borderId="7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horizontal="center"/>
    </x:xf>
    <x:xf numFmtId="0" fontId="5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vertical="top" wrapText="1"/>
    </x:xf>
    <x:xf numFmtId="0" fontId="10" fillId="22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wrapText="1"/>
    </x:xf>
    <x:xf numFmtId="0" fontId="3" fillId="9" borderId="16" xfId="0" applyNumberFormat="1" applyFont="1" applyFill="1" applyBorder="1" applyAlignment="1">
      <x:alignment horizontal="center"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4" xfId="0" applyNumberFormat="1" applyFont="1" applyFill="1" applyBorder="1" applyAlignment="1">
      <x:alignment horizontal="center" vertic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40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1fa0b306549f1" /><Relationship Type="http://schemas.openxmlformats.org/officeDocument/2006/relationships/theme" Target="/xl/theme/theme1.xml" Id="Rd001e7a33bff4881" /><Relationship Type="http://schemas.openxmlformats.org/officeDocument/2006/relationships/sharedStrings" Target="/xl/sharedStrings.xml" Id="Rd46af33b9ea748db" /><Relationship Type="http://schemas.openxmlformats.org/officeDocument/2006/relationships/worksheet" Target="/xl/worksheets/sheet1.xml" Id="Rd2f05becd2284463" /><Relationship Type="http://schemas.openxmlformats.org/officeDocument/2006/relationships/worksheet" Target="/xl/worksheets/sheet2.xml" Id="R49795e7c7dcf4163" /><Relationship Type="http://schemas.openxmlformats.org/officeDocument/2006/relationships/worksheet" Target="/xl/worksheets/sheet3.xml" Id="R4d6e904a9f3147e4" /><Relationship Type="http://schemas.openxmlformats.org/officeDocument/2006/relationships/worksheet" Target="/xl/worksheets/sheet4.xml" Id="R80ffd9e8e34e44b7" /><Relationship Type="http://schemas.openxmlformats.org/officeDocument/2006/relationships/worksheet" Target="/xl/worksheets/sheet5.xml" Id="R2c29b9cc81fb4a26" /><Relationship Type="http://schemas.openxmlformats.org/officeDocument/2006/relationships/worksheet" Target="/xl/worksheets/sheet6.xml" Id="R34d1bab232cf4047" /><Relationship Type="http://schemas.openxmlformats.org/officeDocument/2006/relationships/worksheet" Target="/xl/worksheets/sheet7.xml" Id="R86cc0f14b3ae42f1" /><Relationship Type="http://schemas.openxmlformats.org/officeDocument/2006/relationships/worksheet" Target="/xl/worksheets/sheet8.xml" Id="R8d138b1bd6ae472e" /><Relationship Type="http://schemas.openxmlformats.org/officeDocument/2006/relationships/worksheet" Target="/xl/worksheets/sheet9.xml" Id="R8169784e6d984c15" /><Relationship Type="http://schemas.openxmlformats.org/officeDocument/2006/relationships/worksheet" Target="/xl/worksheets/sheet10.xml" Id="R2c4706ce2da349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26" max="26" width="2" hidden="0" customWidth="1"/>
    <x:col min="27" max="27" width="2" hidden="0" customWidth="1"/>
  </x:cols>
  <x:sheetData>
    <x:row r="1" ht="30" customHeight="1">
      <x:c r="A1" s="5" t="str">
        <x:v>Тест по газоопасным работам — 25 вопросов</x:v>
      </x:c>
      <x:c r="B1" s="5"/>
      <x:c r="C1" s="5"/>
      <x:c r="D1" s="5"/>
      <x:c r="E1" s="5"/>
      <x:c r="F1" s="5"/>
      <x:c r="G1" s="5"/>
      <x:c r="H1" s="5"/>
      <x:c r="Z1" s="203"/>
      <x:c r="AA1" s="203"/>
    </x:row>
    <x:row r="2" ht="30" customHeight="1">
      <x:c r="A2" s="14" t="str">
        <x:v>Выбирайте букву ответа. В вопросах с несколькими правильными вариантами выберите комбинацию, например A,B,D.</x:v>
      </x:c>
      <x:c r="B2" s="14"/>
      <x:c r="C2" s="14"/>
      <x:c r="D2" s="14"/>
      <x:c r="E2" s="14"/>
      <x:c r="F2" s="14"/>
      <x:c r="G2" s="14"/>
      <x:c r="H2" s="14"/>
      <x:c r="Z2" s="203"/>
      <x:c r="AA2" s="203"/>
    </x:row>
    <x:row r="3">
      <x:c r="A3" s="23" t="str">
        <x:v>Отвечено</x:v>
      </x:c>
      <x:c r="B3" s="23"/>
      <x:c r="C3" s="29" t="n">
        <x:f>SUM(AA5:AA360)</x:f>
        <x:v>0</x:v>
      </x:c>
      <x:c r="D3" s="23" t="str">
        <x:v>Правильно</x:v>
      </x:c>
      <x:c r="E3" s="23"/>
      <x:c r="F3" s="29" t="n">
        <x:f>SUM(Z5:Z360)</x:f>
        <x:v>0</x:v>
      </x:c>
      <x:c r="G3" s="23" t="str">
        <x:v>Результат</x:v>
      </x:c>
      <x:c r="H3" s="33" t="n">
        <x:f>IF(F3=0,0,F3/25)</x:f>
        <x:v>0</x:v>
      </x:c>
      <x:c r="Z3" s="203"/>
      <x:c r="AA3" s="203"/>
    </x:row>
    <x:row r="4">
      <x:c r="Z4" s="203"/>
      <x:c r="AA4" s="203"/>
    </x:row>
    <x:row r="5" ht="24" customHeight="1">
      <x:c r="A5" s="38" t="str">
        <x:v>Вопрос 1 из 25</x:v>
      </x:c>
      <x:c r="B5" s="38"/>
      <x:c r="C5" s="38"/>
      <x:c r="D5" s="38"/>
      <x:c r="E5" s="38"/>
      <x:c r="F5" s="38"/>
      <x:c r="G5" s="38"/>
      <x:c r="H5" s="38"/>
      <x:c r="Z5" s="203"/>
      <x:c r="AA5" s="203"/>
    </x:row>
    <x:row r="6" ht="30" customHeight="1">
      <x:c r="A6" s="56" t="str">
        <x:v>С какой периодичностью должен осуществляться контроль загазованности в рабочей зоне при проведении газоопасных работ?</x:v>
      </x:c>
      <x:c r="B6" s="57"/>
      <x:c r="C6" s="57"/>
      <x:c r="D6" s="57"/>
      <x:c r="E6" s="57"/>
      <x:c r="F6" s="57"/>
      <x:c r="G6" s="57"/>
      <x:c r="H6" s="58"/>
      <x:c r="Z6" s="203"/>
      <x:c r="AA6" s="203"/>
    </x:row>
    <x:row r="7" ht="30" customHeight="1">
      <x:c r="A7" s="59"/>
      <x:c r="B7" s="60"/>
      <x:c r="C7" s="60"/>
      <x:c r="D7" s="60"/>
      <x:c r="E7" s="60"/>
      <x:c r="F7" s="60"/>
      <x:c r="G7" s="60"/>
      <x:c r="H7" s="61"/>
      <x:c r="Z7" s="203"/>
      <x:c r="AA7" s="203"/>
    </x:row>
    <x:row r="8">
      <x:c r="Z8" s="203"/>
      <x:c r="AA8" s="203"/>
    </x:row>
    <x:row r="9" ht="28" customHeight="1">
      <x:c r="A9" s="86" t="str">
        <x:v>A</x:v>
      </x:c>
      <x:c r="B9" s="99" t="str">
        <x:v>Не реже одного раза в 30 минут, с записью результатов в наряде-допуске.</x:v>
      </x:c>
      <x:c r="C9" s="100"/>
      <x:c r="D9" s="100"/>
      <x:c r="E9" s="100"/>
      <x:c r="F9" s="100"/>
      <x:c r="G9" s="100"/>
      <x:c r="H9" s="101"/>
      <x:c r="Z9" s="203"/>
      <x:c r="AA9" s="203"/>
    </x:row>
    <x:row r="10" ht="28" customHeight="1">
      <x:c r="A10" s="86" t="str">
        <x:v>B</x:v>
      </x:c>
      <x:c r="B10" s="99" t="str">
        <x:v>Не реже одного раза в 30 минут.</x:v>
      </x:c>
      <x:c r="C10" s="100"/>
      <x:c r="D10" s="100"/>
      <x:c r="E10" s="100"/>
      <x:c r="F10" s="100"/>
      <x:c r="G10" s="100"/>
      <x:c r="H10" s="101"/>
      <x:c r="Z10" s="203"/>
      <x:c r="AA10" s="203"/>
    </x:row>
    <x:row r="11" ht="28" customHeight="1">
      <x:c r="A11" s="86" t="str">
        <x:v>C</x:v>
      </x:c>
      <x:c r="B11" s="99" t="str">
        <x:v>Непрерывно, с записью результатов в наряде-допуске каждые 30 минут.</x:v>
      </x:c>
      <x:c r="C11" s="100"/>
      <x:c r="D11" s="100"/>
      <x:c r="E11" s="100"/>
      <x:c r="F11" s="100"/>
      <x:c r="G11" s="100"/>
      <x:c r="H11" s="101"/>
      <x:c r="Z11" s="203"/>
      <x:c r="AA11" s="203"/>
    </x:row>
    <x:row r="12" ht="28" customHeight="1">
      <x:c r="A12" s="86" t="str">
        <x:v>D</x:v>
      </x:c>
      <x:c r="B12" s="99" t="str">
        <x:v>Не реже одного раза в 10 минут.</x:v>
      </x:c>
      <x:c r="C12" s="100"/>
      <x:c r="D12" s="100"/>
      <x:c r="E12" s="100"/>
      <x:c r="F12" s="100"/>
      <x:c r="G12" s="100"/>
      <x:c r="H12" s="101"/>
      <x:c r="Z12" s="203"/>
      <x:c r="AA12" s="203"/>
    </x:row>
    <x:row r="13">
      <x:c r="Z13" s="203"/>
      <x:c r="AA13" s="203"/>
    </x:row>
    <x:row r="14" ht="30" customHeight="1">
      <x:c r="A14" s="116" t="str">
        <x:v>Ваш ответ:</x:v>
      </x:c>
      <x:c r="B14" s="117"/>
      <x:c r="C14" s="132" t="str"/>
      <x:c r="D14" s="133"/>
      <x:c r="E14" s="133"/>
      <x:c r="F14" s="133"/>
      <x:c r="G14" s="133"/>
      <x:c r="H14" s="134"/>
      <x:c r="Z14" s="203" t="n">
        <x:f>IF(C14="",0,IF(C14="C",1,0))</x:f>
        <x:v>0</x:v>
      </x:c>
      <x:c r="AA14" s="203" t="n">
        <x:f>IF(C14="",0,1)</x:f>
        <x:v>0</x:v>
      </x:c>
    </x:row>
    <x:row r="15">
      <x:c r="Z15" s="203"/>
      <x:c r="AA15" s="203"/>
    </x:row>
    <x:row r="16" ht="30" customHeight="1">
      <x:c r="A16" s="341" t="str">
        <x:v>Комментарий:</x:v>
      </x:c>
      <x:c r="B16" s="342"/>
      <x:c r="C16" s="176" t="str">
        <x:f>IF(C14="","Выберите ответ.",IF(C14="A","Неверно. Периодичность или порядок фиксации результатов указаны неверно. Правильный вариант: C.",IF(C14="B","Неверно. Периодичность или порядок фиксации результатов указаны неверно. Правильный вариант: C.",IF(C14="C","Верно. Периодичность и условие контроля соответствуют ключу теста.",IF(C14="D","Неверно. Периодичность или порядок фиксации результатов указаны неверно. Правильный вариант: C.","Неверно. Ответ не распознан. Правильный вариант: C.")))))</x:f>
        <x:v>Выберите ответ.</x:v>
      </x:c>
      <x:c r="D16" s="177"/>
      <x:c r="E16" s="177"/>
      <x:c r="F16" s="177"/>
      <x:c r="G16" s="177"/>
      <x:c r="H16" s="178"/>
      <x:c r="Z16" s="203"/>
      <x:c r="AA16" s="203"/>
    </x:row>
    <x:row r="17" ht="30" customHeight="1">
      <x:c r="A17" s="308"/>
      <x:c r="B17" s="308"/>
      <x:c r="C17" s="179"/>
      <x:c r="D17" s="180"/>
      <x:c r="E17" s="180"/>
      <x:c r="F17" s="180"/>
      <x:c r="G17" s="180"/>
      <x:c r="H17" s="181"/>
      <x:c r="Z17" s="203"/>
      <x:c r="AA17" s="203"/>
    </x:row>
    <x:row r="18">
      <x:c r="Z18" s="203"/>
      <x:c r="AA18" s="203"/>
    </x:row>
    <x:row r="19" ht="24" customHeight="1">
      <x:c r="A19" s="38" t="str">
        <x:v>Вопрос 2 из 25</x:v>
      </x:c>
      <x:c r="B19" s="38"/>
      <x:c r="C19" s="38"/>
      <x:c r="D19" s="38"/>
      <x:c r="E19" s="38"/>
      <x:c r="F19" s="38"/>
      <x:c r="G19" s="38"/>
      <x:c r="H19" s="38"/>
      <x:c r="Z19" s="203"/>
      <x:c r="AA19" s="203"/>
    </x:row>
    <x:row r="20" ht="30" customHeight="1">
      <x:c r="A20" s="56" t="str">
        <x:v>В каких случаях допускается применение фильтрующих противогазов при проведении газоопасных работ?</x:v>
      </x:c>
      <x:c r="B20" s="57"/>
      <x:c r="C20" s="57"/>
      <x:c r="D20" s="57"/>
      <x:c r="E20" s="57"/>
      <x:c r="F20" s="57"/>
      <x:c r="G20" s="57"/>
      <x:c r="H20" s="58"/>
      <x:c r="Z20" s="203"/>
      <x:c r="AA20" s="203"/>
    </x:row>
    <x:row r="21" ht="30" customHeight="1">
      <x:c r="A21" s="59"/>
      <x:c r="B21" s="60"/>
      <x:c r="C21" s="60"/>
      <x:c r="D21" s="60"/>
      <x:c r="E21" s="60"/>
      <x:c r="F21" s="60"/>
      <x:c r="G21" s="60"/>
      <x:c r="H21" s="61"/>
      <x:c r="Z21" s="203"/>
      <x:c r="AA21" s="203"/>
    </x:row>
    <x:row r="22">
      <x:c r="Z22" s="203"/>
      <x:c r="AA22" s="203"/>
    </x:row>
    <x:row r="23" ht="28" customHeight="1">
      <x:c r="A23" s="86" t="str">
        <x:v>A</x:v>
      </x:c>
      <x:c r="B23" s="99" t="str">
        <x:v>При содержании кислорода в воздухе рабочей зоны выше 20%.</x:v>
      </x:c>
      <x:c r="C23" s="100"/>
      <x:c r="D23" s="100"/>
      <x:c r="E23" s="100"/>
      <x:c r="F23" s="100"/>
      <x:c r="G23" s="100"/>
      <x:c r="H23" s="101"/>
      <x:c r="Z23" s="203"/>
      <x:c r="AA23" s="203"/>
    </x:row>
    <x:row r="24" ht="40" customHeight="1">
      <x:c r="A24" s="86" t="str">
        <x:v>B</x:v>
      </x:c>
      <x:c r="B24" s="99" t="str">
        <x:v>При содержании в воздухе рабочей зоны кислорода выше 20% и отсутствии вредных и опасных веществ.</x:v>
      </x:c>
      <x:c r="C24" s="100"/>
      <x:c r="D24" s="100"/>
      <x:c r="E24" s="100"/>
      <x:c r="F24" s="100"/>
      <x:c r="G24" s="100"/>
      <x:c r="H24" s="101"/>
      <x:c r="Z24" s="203"/>
      <x:c r="AA24" s="203"/>
    </x:row>
    <x:row r="25" ht="40" customHeight="1">
      <x:c r="A25" s="86" t="str">
        <x:v>C</x:v>
      </x:c>
      <x:c r="B25" s="99" t="str">
        <x:v>При содержании в воздухе рабочей зоны кислорода ниже 20% и наличии вредных и опасных веществ.</x:v>
      </x:c>
      <x:c r="C25" s="100"/>
      <x:c r="D25" s="100"/>
      <x:c r="E25" s="100"/>
      <x:c r="F25" s="100"/>
      <x:c r="G25" s="100"/>
      <x:c r="H25" s="101"/>
      <x:c r="Z25" s="203"/>
      <x:c r="AA25" s="203"/>
    </x:row>
    <x:row r="26" ht="40" customHeight="1">
      <x:c r="A26" s="86" t="str">
        <x:v>D</x:v>
      </x:c>
      <x:c r="B26" s="99" t="str">
        <x:v>Использование фильтрующих противогазов при проведении газоопасных работ запрещено.</x:v>
      </x:c>
      <x:c r="C26" s="100"/>
      <x:c r="D26" s="100"/>
      <x:c r="E26" s="100"/>
      <x:c r="F26" s="100"/>
      <x:c r="G26" s="100"/>
      <x:c r="H26" s="101"/>
      <x:c r="Z26" s="203"/>
      <x:c r="AA26" s="203"/>
    </x:row>
    <x:row r="27">
      <x:c r="Z27" s="203"/>
      <x:c r="AA27" s="203"/>
    </x:row>
    <x:row r="28" ht="30" customHeight="1">
      <x:c r="A28" s="116" t="str">
        <x:v>Ваш ответ:</x:v>
      </x:c>
      <x:c r="B28" s="117"/>
      <x:c r="C28" s="132" t="str"/>
      <x:c r="D28" s="133"/>
      <x:c r="E28" s="133"/>
      <x:c r="F28" s="133"/>
      <x:c r="G28" s="133"/>
      <x:c r="H28" s="134"/>
      <x:c r="Z28" s="203" t="n">
        <x:f>IF(C28="",0,IF(C28="D",1,0))</x:f>
        <x:v>0</x:v>
      </x:c>
      <x:c r="AA28" s="203" t="n">
        <x:f>IF(C28="",0,1)</x:f>
        <x:v>0</x:v>
      </x:c>
    </x:row>
    <x:row r="29">
      <x:c r="Z29" s="203"/>
      <x:c r="AA29" s="203"/>
    </x:row>
    <x:row r="30" ht="30" customHeight="1">
      <x:c r="A30" s="341" t="str">
        <x:v>Комментарий:</x:v>
      </x:c>
      <x:c r="B30" s="342"/>
      <x:c r="C30" s="176" t="str">
        <x:f>IF(C28="","Выберите ответ.",IF(C28="A","Неверно. Условие допуска сформулировано не так, как в исходном тесте. Правильный вариант: D.",IF(C28="B","Неверно. Условие допуска сформулировано не так, как в исходном тесте. Правильный вариант: D.",IF(C28="C","Неверно. Условие допуска сформулировано не так, как в исходном тесте. Правильный вариант: D.",IF(C28="D","Верно. Условие допуска сформулировано так, как принято в исходном тесте.","Неверно. Ответ не распознан. Правильный вариант: D.")))))</x:f>
        <x:v>Выберите ответ.</x:v>
      </x:c>
      <x:c r="D30" s="177"/>
      <x:c r="E30" s="177"/>
      <x:c r="F30" s="177"/>
      <x:c r="G30" s="177"/>
      <x:c r="H30" s="178"/>
      <x:c r="Z30" s="203"/>
      <x:c r="AA30" s="203"/>
    </x:row>
    <x:row r="31" ht="30" customHeight="1">
      <x:c r="A31" s="308"/>
      <x:c r="B31" s="308"/>
      <x:c r="C31" s="179"/>
      <x:c r="D31" s="180"/>
      <x:c r="E31" s="180"/>
      <x:c r="F31" s="180"/>
      <x:c r="G31" s="180"/>
      <x:c r="H31" s="181"/>
      <x:c r="Z31" s="203"/>
      <x:c r="AA31" s="203"/>
    </x:row>
    <x:row r="32">
      <x:c r="Z32" s="203"/>
      <x:c r="AA32" s="203"/>
    </x:row>
    <x:row r="33" ht="24" customHeight="1">
      <x:c r="A33" s="38" t="str">
        <x:v>Вопрос 3 из 25</x:v>
      </x:c>
      <x:c r="B33" s="38"/>
      <x:c r="C33" s="38"/>
      <x:c r="D33" s="38"/>
      <x:c r="E33" s="38"/>
      <x:c r="F33" s="38"/>
      <x:c r="G33" s="38"/>
      <x:c r="H33" s="38"/>
      <x:c r="Z33" s="203"/>
      <x:c r="AA33" s="203"/>
    </x:row>
    <x:row r="34" ht="42" customHeight="1">
      <x:c r="A34" s="56" t="str">
        <x:v>Кто организует согласование мероприятий, указанных в наряде-допуске на ведение ГОР, с представителем подразделения, уполномоченного в области производственной безопасности, а также при необходимости с руководителями взаимосвязанных структурных подразделений?</x:v>
      </x:c>
      <x:c r="B34" s="57"/>
      <x:c r="C34" s="57"/>
      <x:c r="D34" s="57"/>
      <x:c r="E34" s="57"/>
      <x:c r="F34" s="57"/>
      <x:c r="G34" s="57"/>
      <x:c r="H34" s="58"/>
      <x:c r="Z34" s="203"/>
      <x:c r="AA34" s="203"/>
    </x:row>
    <x:row r="35" ht="42" customHeight="1">
      <x:c r="A35" s="59"/>
      <x:c r="B35" s="60"/>
      <x:c r="C35" s="60"/>
      <x:c r="D35" s="60"/>
      <x:c r="E35" s="60"/>
      <x:c r="F35" s="60"/>
      <x:c r="G35" s="60"/>
      <x:c r="H35" s="61"/>
      <x:c r="Z35" s="203"/>
      <x:c r="AA35" s="203"/>
    </x:row>
    <x:row r="36">
      <x:c r="Z36" s="203"/>
      <x:c r="AA36" s="203"/>
    </x:row>
    <x:row r="37" ht="28" customHeight="1">
      <x:c r="A37" s="86" t="str">
        <x:v>A</x:v>
      </x:c>
      <x:c r="B37" s="99" t="str">
        <x:v>Ответственный за подготовительные работы.</x:v>
      </x:c>
      <x:c r="C37" s="100"/>
      <x:c r="D37" s="100"/>
      <x:c r="E37" s="100"/>
      <x:c r="F37" s="100"/>
      <x:c r="G37" s="100"/>
      <x:c r="H37" s="101"/>
      <x:c r="Z37" s="203"/>
      <x:c r="AA37" s="203"/>
    </x:row>
    <x:row r="38" ht="28" customHeight="1">
      <x:c r="A38" s="86" t="str">
        <x:v>B</x:v>
      </x:c>
      <x:c r="B38" s="99" t="str">
        <x:v>Руководитель структурного подразделения.</x:v>
      </x:c>
      <x:c r="C38" s="100"/>
      <x:c r="D38" s="100"/>
      <x:c r="E38" s="100"/>
      <x:c r="F38" s="100"/>
      <x:c r="G38" s="100"/>
      <x:c r="H38" s="101"/>
      <x:c r="Z38" s="203"/>
      <x:c r="AA38" s="203"/>
    </x:row>
    <x:row r="39" ht="28" customHeight="1">
      <x:c r="A39" s="86" t="str">
        <x:v>C</x:v>
      </x:c>
      <x:c r="B39" s="99" t="str">
        <x:v>Ответственный за проведение газоопасной работы.</x:v>
      </x:c>
      <x:c r="C39" s="100"/>
      <x:c r="D39" s="100"/>
      <x:c r="E39" s="100"/>
      <x:c r="F39" s="100"/>
      <x:c r="G39" s="100"/>
      <x:c r="H39" s="101"/>
      <x:c r="Z39" s="203"/>
      <x:c r="AA39" s="203"/>
    </x:row>
    <x:row r="40" ht="40" customHeight="1">
      <x:c r="A40" s="86" t="str">
        <x:v>D</x:v>
      </x:c>
      <x:c r="B40" s="99" t="str">
        <x:v>Совместно ответственные за подготовительные работы и за проведение газоопасной работы.</x:v>
      </x:c>
      <x:c r="C40" s="100"/>
      <x:c r="D40" s="100"/>
      <x:c r="E40" s="100"/>
      <x:c r="F40" s="100"/>
      <x:c r="G40" s="100"/>
      <x:c r="H40" s="101"/>
      <x:c r="Z40" s="203"/>
      <x:c r="AA40" s="203"/>
    </x:row>
    <x:row r="41">
      <x:c r="Z41" s="203"/>
      <x:c r="AA41" s="203"/>
    </x:row>
    <x:row r="42" ht="30" customHeight="1">
      <x:c r="A42" s="116" t="str">
        <x:v>Ваш ответ:</x:v>
      </x:c>
      <x:c r="B42" s="117"/>
      <x:c r="C42" s="132" t="str"/>
      <x:c r="D42" s="133"/>
      <x:c r="E42" s="133"/>
      <x:c r="F42" s="133"/>
      <x:c r="G42" s="133"/>
      <x:c r="H42" s="134"/>
      <x:c r="Z42" s="203" t="n">
        <x:f>IF(C42="",0,IF(C42="B",1,0))</x:f>
        <x:v>0</x:v>
      </x:c>
      <x:c r="AA42" s="203" t="n">
        <x:f>IF(C42="",0,1)</x:f>
        <x:v>0</x:v>
      </x:c>
    </x:row>
    <x:row r="43">
      <x:c r="Z43" s="203"/>
      <x:c r="AA43" s="203"/>
    </x:row>
    <x:row r="44" ht="30" customHeight="1">
      <x:c r="A44" s="341" t="str">
        <x:v>Комментарий:</x:v>
      </x:c>
      <x:c r="B44" s="342"/>
      <x:c r="C44" s="176" t="str">
        <x:f>IF(C42="","Выберите ответ.",IF(C42="A","Неверно. Полномочие отнесено к другому ответственному лицу. Правильный вариант: B.",IF(C42="B","Верно. По ключу теста это действие относится к указанному ответственному лицу.",IF(C42="C","Неверно. Полномочие отнесено к другому ответственному лицу. Правильный вариант: B.",IF(C42="D","Неверно. Полномочие отнесено к другому ответственному лицу. Правильный вариант: B.","Неверно. Ответ не распознан. Правильный вариант: B.")))))</x:f>
        <x:v>Выберите ответ.</x:v>
      </x:c>
      <x:c r="D44" s="177"/>
      <x:c r="E44" s="177"/>
      <x:c r="F44" s="177"/>
      <x:c r="G44" s="177"/>
      <x:c r="H44" s="178"/>
      <x:c r="Z44" s="203"/>
      <x:c r="AA44" s="203"/>
    </x:row>
    <x:row r="45" ht="30" customHeight="1">
      <x:c r="A45" s="308"/>
      <x:c r="B45" s="308"/>
      <x:c r="C45" s="179"/>
      <x:c r="D45" s="180"/>
      <x:c r="E45" s="180"/>
      <x:c r="F45" s="180"/>
      <x:c r="G45" s="180"/>
      <x:c r="H45" s="181"/>
      <x:c r="Z45" s="203"/>
      <x:c r="AA45" s="203"/>
    </x:row>
    <x:row r="46">
      <x:c r="Z46" s="203"/>
      <x:c r="AA46" s="203"/>
    </x:row>
    <x:row r="47" ht="24" customHeight="1">
      <x:c r="A47" s="38" t="str">
        <x:v>Вопрос 4 из 25</x:v>
      </x:c>
      <x:c r="B47" s="38"/>
      <x:c r="C47" s="38"/>
      <x:c r="D47" s="38"/>
      <x:c r="E47" s="38"/>
      <x:c r="F47" s="38"/>
      <x:c r="G47" s="38"/>
      <x:c r="H47" s="38"/>
      <x:c r="Z47" s="203"/>
      <x:c r="AA47" s="203"/>
    </x:row>
    <x:row r="48" ht="30" customHeight="1">
      <x:c r="A48" s="56" t="str">
        <x:v>Укажите состав бригады исполнителей ГОР I группы.</x:v>
      </x:c>
      <x:c r="B48" s="57"/>
      <x:c r="C48" s="57"/>
      <x:c r="D48" s="57"/>
      <x:c r="E48" s="57"/>
      <x:c r="F48" s="57"/>
      <x:c r="G48" s="57"/>
      <x:c r="H48" s="58"/>
      <x:c r="Z48" s="203"/>
      <x:c r="AA48" s="203"/>
    </x:row>
    <x:row r="49" ht="30" customHeight="1">
      <x:c r="A49" s="59"/>
      <x:c r="B49" s="60"/>
      <x:c r="C49" s="60"/>
      <x:c r="D49" s="60"/>
      <x:c r="E49" s="60"/>
      <x:c r="F49" s="60"/>
      <x:c r="G49" s="60"/>
      <x:c r="H49" s="61"/>
      <x:c r="Z49" s="203"/>
      <x:c r="AA49" s="203"/>
    </x:row>
    <x:row r="50">
      <x:c r="Z50" s="203"/>
      <x:c r="AA50" s="203"/>
    </x:row>
    <x:row r="51" ht="28" customHeight="1">
      <x:c r="A51" s="86" t="str">
        <x:v>A</x:v>
      </x:c>
      <x:c r="B51" s="99" t="str">
        <x:v>Не менее одного человека, при проведении сложных работ - не менее трех человек.</x:v>
      </x:c>
      <x:c r="C51" s="100"/>
      <x:c r="D51" s="100"/>
      <x:c r="E51" s="100"/>
      <x:c r="F51" s="100"/>
      <x:c r="G51" s="100"/>
      <x:c r="H51" s="101"/>
      <x:c r="Z51" s="203"/>
      <x:c r="AA51" s="203"/>
    </x:row>
    <x:row r="52" ht="28" customHeight="1">
      <x:c r="A52" s="86" t="str">
        <x:v>B</x:v>
      </x:c>
      <x:c r="B52" s="99" t="str">
        <x:v>Не менее двух человек, в случаях работы в траншеях - не менее трех человек.</x:v>
      </x:c>
      <x:c r="C52" s="100"/>
      <x:c r="D52" s="100"/>
      <x:c r="E52" s="100"/>
      <x:c r="F52" s="100"/>
      <x:c r="G52" s="100"/>
      <x:c r="H52" s="101"/>
      <x:c r="Z52" s="203"/>
      <x:c r="AA52" s="203"/>
    </x:row>
    <x:row r="53" ht="28" customHeight="1">
      <x:c r="A53" s="86" t="str">
        <x:v>C</x:v>
      </x:c>
      <x:c r="B53" s="99" t="str">
        <x:v>Не менее двух человек, в случаях применения СИЗОД - не менее трех человек.</x:v>
      </x:c>
      <x:c r="C53" s="100"/>
      <x:c r="D53" s="100"/>
      <x:c r="E53" s="100"/>
      <x:c r="F53" s="100"/>
      <x:c r="G53" s="100"/>
      <x:c r="H53" s="101"/>
      <x:c r="Z53" s="203"/>
      <x:c r="AA53" s="203"/>
    </x:row>
    <x:row r="54" ht="28" customHeight="1">
      <x:c r="A54" s="86" t="str">
        <x:v>D</x:v>
      </x:c>
      <x:c r="B54" s="99" t="str">
        <x:v>Не менее двух человек.</x:v>
      </x:c>
      <x:c r="C54" s="100"/>
      <x:c r="D54" s="100"/>
      <x:c r="E54" s="100"/>
      <x:c r="F54" s="100"/>
      <x:c r="G54" s="100"/>
      <x:c r="H54" s="101"/>
      <x:c r="Z54" s="203"/>
      <x:c r="AA54" s="203"/>
    </x:row>
    <x:row r="55">
      <x:c r="Z55" s="203"/>
      <x:c r="AA55" s="203"/>
    </x:row>
    <x:row r="56" ht="30" customHeight="1">
      <x:c r="A56" s="116" t="str">
        <x:v>Ваш ответ:</x:v>
      </x:c>
      <x:c r="B56" s="117"/>
      <x:c r="C56" s="132" t="str"/>
      <x:c r="D56" s="133"/>
      <x:c r="E56" s="133"/>
      <x:c r="F56" s="133"/>
      <x:c r="G56" s="133"/>
      <x:c r="H56" s="134"/>
      <x:c r="Z56" s="203" t="n">
        <x:f>IF(C56="",0,IF(C56="C",1,0))</x:f>
        <x:v>0</x:v>
      </x:c>
      <x:c r="AA56" s="203" t="n">
        <x:f>IF(C56="",0,1)</x:f>
        <x:v>0</x:v>
      </x:c>
    </x:row>
    <x:row r="57">
      <x:c r="Z57" s="203"/>
      <x:c r="AA57" s="203"/>
    </x:row>
    <x:row r="58" ht="30" customHeight="1">
      <x:c r="A58" s="341" t="str">
        <x:v>Комментарий:</x:v>
      </x:c>
      <x:c r="B58" s="342"/>
      <x:c r="C58" s="176" t="str">
        <x:f>IF(C56="","Выберите ответ.",IF(C56="A","Неверно. Состав бригады не соответствует требованию исходного теста. Правильный вариант: C.",IF(C56="B","Неверно. Состав бригады не соответствует требованию исходного теста. Правильный вариант: C.",IF(C56="C","Верно. Состав бригады соответствует ключу исходного теста.",IF(C56="D","Неверно. Состав бригады не соответствует требованию исходного теста. Правильный вариант: C.","Неверно. Ответ не распознан. Правильный вариант: C.")))))</x:f>
        <x:v>Выберите ответ.</x:v>
      </x:c>
      <x:c r="D58" s="177"/>
      <x:c r="E58" s="177"/>
      <x:c r="F58" s="177"/>
      <x:c r="G58" s="177"/>
      <x:c r="H58" s="178"/>
      <x:c r="Z58" s="203"/>
      <x:c r="AA58" s="203"/>
    </x:row>
    <x:row r="59" ht="30" customHeight="1">
      <x:c r="A59" s="308"/>
      <x:c r="B59" s="308"/>
      <x:c r="C59" s="179"/>
      <x:c r="D59" s="180"/>
      <x:c r="E59" s="180"/>
      <x:c r="F59" s="180"/>
      <x:c r="G59" s="180"/>
      <x:c r="H59" s="181"/>
      <x:c r="Z59" s="203"/>
      <x:c r="AA59" s="203"/>
    </x:row>
    <x:row r="60">
      <x:c r="Z60" s="203"/>
      <x:c r="AA60" s="203"/>
    </x:row>
    <x:row r="61" ht="24" customHeight="1">
      <x:c r="A61" s="38" t="str">
        <x:v>Вопрос 5 из 25</x:v>
      </x:c>
      <x:c r="B61" s="38"/>
      <x:c r="C61" s="38"/>
      <x:c r="D61" s="38"/>
      <x:c r="E61" s="38"/>
      <x:c r="F61" s="38"/>
      <x:c r="G61" s="38"/>
      <x:c r="H61" s="38"/>
      <x:c r="Z61" s="203"/>
      <x:c r="AA61" s="203"/>
    </x:row>
    <x:row r="62" ht="42" customHeight="1">
      <x:c r="A62" s="56" t="str">
        <x:v>Необходимо ли указывать на схемах, приложенных к наряду-допуску, номера заглушек, которые подлежат установке/снятию в процессе выполнения ГОР?</x:v>
      </x:c>
      <x:c r="B62" s="57"/>
      <x:c r="C62" s="57"/>
      <x:c r="D62" s="57"/>
      <x:c r="E62" s="57"/>
      <x:c r="F62" s="57"/>
      <x:c r="G62" s="57"/>
      <x:c r="H62" s="58"/>
      <x:c r="Z62" s="203"/>
      <x:c r="AA62" s="203"/>
    </x:row>
    <x:row r="63" ht="42" customHeight="1">
      <x:c r="A63" s="59"/>
      <x:c r="B63" s="60"/>
      <x:c r="C63" s="60"/>
      <x:c r="D63" s="60"/>
      <x:c r="E63" s="60"/>
      <x:c r="F63" s="60"/>
      <x:c r="G63" s="60"/>
      <x:c r="H63" s="61"/>
      <x:c r="Z63" s="203"/>
      <x:c r="AA63" s="203"/>
    </x:row>
    <x:row r="64">
      <x:c r="Z64" s="203"/>
      <x:c r="AA64" s="203"/>
    </x:row>
    <x:row r="65" ht="28" customHeight="1">
      <x:c r="A65" s="86" t="str">
        <x:v>A</x:v>
      </x:c>
      <x:c r="B65" s="99" t="str">
        <x:v>Нет необходимости.</x:v>
      </x:c>
      <x:c r="C65" s="100"/>
      <x:c r="D65" s="100"/>
      <x:c r="E65" s="100"/>
      <x:c r="F65" s="100"/>
      <x:c r="G65" s="100"/>
      <x:c r="H65" s="101"/>
      <x:c r="Z65" s="203"/>
      <x:c r="AA65" s="203"/>
    </x:row>
    <x:row r="66" ht="40" customHeight="1">
      <x:c r="A66" s="86" t="str">
        <x:v>B</x:v>
      </x:c>
      <x:c r="B66" s="99" t="str">
        <x:v>Необходимость есть только в случае использования номерных заглушек, подлежащих регистрации в журнале установки-снятия заглушек.</x:v>
      </x:c>
      <x:c r="C66" s="100"/>
      <x:c r="D66" s="100"/>
      <x:c r="E66" s="100"/>
      <x:c r="F66" s="100"/>
      <x:c r="G66" s="100"/>
      <x:c r="H66" s="101"/>
      <x:c r="Z66" s="203"/>
      <x:c r="AA66" s="203"/>
    </x:row>
    <x:row r="67" ht="28" customHeight="1">
      <x:c r="A67" s="86" t="str">
        <x:v>C</x:v>
      </x:c>
      <x:c r="B67" s="99" t="str">
        <x:v>Необходимо, с указанием на схеме мест установки заглушек.</x:v>
      </x:c>
      <x:c r="C67" s="100"/>
      <x:c r="D67" s="100"/>
      <x:c r="E67" s="100"/>
      <x:c r="F67" s="100"/>
      <x:c r="G67" s="100"/>
      <x:c r="H67" s="101"/>
      <x:c r="Z67" s="203"/>
      <x:c r="AA67" s="203"/>
    </x:row>
    <x:row r="68" ht="28" customHeight="1">
      <x:c r="A68" s="86" t="str">
        <x:v>D</x:v>
      </x:c>
      <x:c r="B68" s="99" t="str">
        <x:v>По решению ответственного за подготовительные работы.</x:v>
      </x:c>
      <x:c r="C68" s="100"/>
      <x:c r="D68" s="100"/>
      <x:c r="E68" s="100"/>
      <x:c r="F68" s="100"/>
      <x:c r="G68" s="100"/>
      <x:c r="H68" s="101"/>
      <x:c r="Z68" s="203"/>
      <x:c r="AA68" s="203"/>
    </x:row>
    <x:row r="69">
      <x:c r="Z69" s="203"/>
      <x:c r="AA69" s="203"/>
    </x:row>
    <x:row r="70" ht="30" customHeight="1">
      <x:c r="A70" s="116" t="str">
        <x:v>Ваш ответ:</x:v>
      </x:c>
      <x:c r="B70" s="117"/>
      <x:c r="C70" s="132" t="str"/>
      <x:c r="D70" s="133"/>
      <x:c r="E70" s="133"/>
      <x:c r="F70" s="133"/>
      <x:c r="G70" s="133"/>
      <x:c r="H70" s="134"/>
      <x:c r="Z70" s="203" t="n">
        <x:f>IF(C70="",0,IF(C70="C",1,0))</x:f>
        <x:v>0</x:v>
      </x:c>
      <x:c r="AA70" s="203" t="n">
        <x:f>IF(C70="",0,1)</x:f>
        <x:v>0</x:v>
      </x:c>
    </x:row>
    <x:row r="71">
      <x:c r="Z71" s="203"/>
      <x:c r="AA71" s="203"/>
    </x:row>
    <x:row r="72" ht="30" customHeight="1">
      <x:c r="A72" s="341" t="str">
        <x:v>Комментарий:</x:v>
      </x:c>
      <x:c r="B72" s="342"/>
      <x:c r="C72" s="176" t="str">
        <x:f>IF(C70="","Выберите ответ.",IF(C70="A","Неверно. Набор требований неполный либо содержит лишнее условие. Правильный вариант: C.",IF(C70="B","Неверно. Набор требований неполный либо содержит лишнее условие. Правильный вариант: C.",IF(C70="C","Верно. Этот набор требований соответствует ключу исходного теста.",IF(C70="D","Неверно. Набор требований неполный либо содержит лишнее условие. Правильный вариант: C.","Неверно. Ответ не распознан. Правильный вариант: C.")))))</x:f>
        <x:v>Выберите ответ.</x:v>
      </x:c>
      <x:c r="D72" s="177"/>
      <x:c r="E72" s="177"/>
      <x:c r="F72" s="177"/>
      <x:c r="G72" s="177"/>
      <x:c r="H72" s="178"/>
      <x:c r="Z72" s="203"/>
      <x:c r="AA72" s="203"/>
    </x:row>
    <x:row r="73" ht="30" customHeight="1">
      <x:c r="A73" s="308"/>
      <x:c r="B73" s="308"/>
      <x:c r="C73" s="179"/>
      <x:c r="D73" s="180"/>
      <x:c r="E73" s="180"/>
      <x:c r="F73" s="180"/>
      <x:c r="G73" s="180"/>
      <x:c r="H73" s="181"/>
      <x:c r="Z73" s="203"/>
      <x:c r="AA73" s="203"/>
    </x:row>
    <x:row r="74">
      <x:c r="Z74" s="203"/>
      <x:c r="AA74" s="203"/>
    </x:row>
    <x:row r="75" ht="24" customHeight="1">
      <x:c r="A75" s="38" t="str">
        <x:v>Вопрос 6 из 25</x:v>
      </x:c>
      <x:c r="B75" s="38"/>
      <x:c r="C75" s="38"/>
      <x:c r="D75" s="38"/>
      <x:c r="E75" s="38"/>
      <x:c r="F75" s="38"/>
      <x:c r="G75" s="38"/>
      <x:c r="H75" s="38"/>
      <x:c r="Z75" s="203"/>
      <x:c r="AA75" s="203"/>
    </x:row>
    <x:row r="76" ht="30" customHeight="1">
      <x:c r="A76" s="56" t="str">
        <x:v>Укажите основную опасность газообразного азота в рабочей зоне ГОР.</x:v>
      </x:c>
      <x:c r="B76" s="57"/>
      <x:c r="C76" s="57"/>
      <x:c r="D76" s="57"/>
      <x:c r="E76" s="57"/>
      <x:c r="F76" s="57"/>
      <x:c r="G76" s="57"/>
      <x:c r="H76" s="58"/>
      <x:c r="Z76" s="203"/>
      <x:c r="AA76" s="203"/>
    </x:row>
    <x:row r="77" ht="30" customHeight="1">
      <x:c r="A77" s="59"/>
      <x:c r="B77" s="60"/>
      <x:c r="C77" s="60"/>
      <x:c r="D77" s="60"/>
      <x:c r="E77" s="60"/>
      <x:c r="F77" s="60"/>
      <x:c r="G77" s="60"/>
      <x:c r="H77" s="61"/>
      <x:c r="Z77" s="203"/>
      <x:c r="AA77" s="203"/>
    </x:row>
    <x:row r="78">
      <x:c r="Z78" s="203"/>
      <x:c r="AA78" s="203"/>
    </x:row>
    <x:row r="79" ht="28" customHeight="1">
      <x:c r="A79" s="86" t="str">
        <x:v>A</x:v>
      </x:c>
      <x:c r="B79" s="99" t="str">
        <x:v>Горюч, взрывоопасен.</x:v>
      </x:c>
      <x:c r="C79" s="100"/>
      <x:c r="D79" s="100"/>
      <x:c r="E79" s="100"/>
      <x:c r="F79" s="100"/>
      <x:c r="G79" s="100"/>
      <x:c r="H79" s="101"/>
      <x:c r="Z79" s="203"/>
      <x:c r="AA79" s="203"/>
    </x:row>
    <x:row r="80" ht="28" customHeight="1">
      <x:c r="A80" s="86" t="str">
        <x:v>B</x:v>
      </x:c>
      <x:c r="B80" s="99" t="str">
        <x:v>Азот способен вспенивать кровь при продолжительном вдыхании человеком.</x:v>
      </x:c>
      <x:c r="C80" s="100"/>
      <x:c r="D80" s="100"/>
      <x:c r="E80" s="100"/>
      <x:c r="F80" s="100"/>
      <x:c r="G80" s="100"/>
      <x:c r="H80" s="101"/>
      <x:c r="Z80" s="203"/>
      <x:c r="AA80" s="203"/>
    </x:row>
    <x:row r="81" ht="28" customHeight="1">
      <x:c r="A81" s="86" t="str">
        <x:v>C</x:v>
      </x:c>
      <x:c r="B81" s="99" t="str">
        <x:v>Накопление газообразного азота в воздухе рабочей зоны вызывает удушье.</x:v>
      </x:c>
      <x:c r="C81" s="100"/>
      <x:c r="D81" s="100"/>
      <x:c r="E81" s="100"/>
      <x:c r="F81" s="100"/>
      <x:c r="G81" s="100"/>
      <x:c r="H81" s="101"/>
      <x:c r="Z81" s="203"/>
      <x:c r="AA81" s="203"/>
    </x:row>
    <x:row r="82" ht="28" customHeight="1">
      <x:c r="A82" s="86" t="str">
        <x:v>D</x:v>
      </x:c>
      <x:c r="B82" s="99" t="str">
        <x:v>Накопление газообразного азота в воздухе рабочей зоны не опасно.</x:v>
      </x:c>
      <x:c r="C82" s="100"/>
      <x:c r="D82" s="100"/>
      <x:c r="E82" s="100"/>
      <x:c r="F82" s="100"/>
      <x:c r="G82" s="100"/>
      <x:c r="H82" s="101"/>
      <x:c r="Z82" s="203"/>
      <x:c r="AA82" s="203"/>
    </x:row>
    <x:row r="83">
      <x:c r="Z83" s="203"/>
      <x:c r="AA83" s="203"/>
    </x:row>
    <x:row r="84" ht="30" customHeight="1">
      <x:c r="A84" s="116" t="str">
        <x:v>Ваш ответ:</x:v>
      </x:c>
      <x:c r="B84" s="117"/>
      <x:c r="C84" s="132" t="str"/>
      <x:c r="D84" s="133"/>
      <x:c r="E84" s="133"/>
      <x:c r="F84" s="133"/>
      <x:c r="G84" s="133"/>
      <x:c r="H84" s="134"/>
      <x:c r="Z84" s="203" t="n">
        <x:f>IF(C84="",0,IF(C84="C",1,0))</x:f>
        <x:v>0</x:v>
      </x:c>
      <x:c r="AA84" s="203" t="n">
        <x:f>IF(C84="",0,1)</x:f>
        <x:v>0</x:v>
      </x:c>
    </x:row>
    <x:row r="85">
      <x:c r="Z85" s="203"/>
      <x:c r="AA85" s="203"/>
    </x:row>
    <x:row r="86" ht="30" customHeight="1">
      <x:c r="A86" s="341" t="str">
        <x:v>Комментарий:</x:v>
      </x:c>
      <x:c r="B86" s="342"/>
      <x:c r="C86" s="176" t="str">
        <x:f>IF(C84="","Выберите ответ.",IF(C84="A","Неверно. Указана другая опасность, не соответствующая условию вопроса. Правильный вариант: C.",IF(C84="B","Неверно. Указана другая опасность, не соответствующая условию вопроса. Правильный вариант: C.",IF(C84="C","Верно. Указана опасность, соответствующая условию вопроса.",IF(C84="D","Неверно. Указана другая опасность, не соответствующая условию вопроса. Правильный вариант: C.","Неверно. Ответ не распознан. Правильный вариант: C.")))))</x:f>
        <x:v>Выберите ответ.</x:v>
      </x:c>
      <x:c r="D86" s="177"/>
      <x:c r="E86" s="177"/>
      <x:c r="F86" s="177"/>
      <x:c r="G86" s="177"/>
      <x:c r="H86" s="178"/>
      <x:c r="Z86" s="203"/>
      <x:c r="AA86" s="203"/>
    </x:row>
    <x:row r="87" ht="30" customHeight="1">
      <x:c r="A87" s="308"/>
      <x:c r="B87" s="308"/>
      <x:c r="C87" s="179"/>
      <x:c r="D87" s="180"/>
      <x:c r="E87" s="180"/>
      <x:c r="F87" s="180"/>
      <x:c r="G87" s="180"/>
      <x:c r="H87" s="181"/>
      <x:c r="Z87" s="203"/>
      <x:c r="AA87" s="203"/>
    </x:row>
    <x:row r="88">
      <x:c r="Z88" s="203"/>
      <x:c r="AA88" s="203"/>
    </x:row>
    <x:row r="89" ht="24" customHeight="1">
      <x:c r="A89" s="38" t="str">
        <x:v>Вопрос 7 из 25</x:v>
      </x:c>
      <x:c r="B89" s="38"/>
      <x:c r="C89" s="38"/>
      <x:c r="D89" s="38"/>
      <x:c r="E89" s="38"/>
      <x:c r="F89" s="38"/>
      <x:c r="G89" s="38"/>
      <x:c r="H89" s="38"/>
      <x:c r="Z89" s="203"/>
      <x:c r="AA89" s="203"/>
    </x:row>
    <x:row r="90" ht="30" customHeight="1">
      <x:c r="A90" s="56" t="str">
        <x:v>До какой концентрации следует вытеснять природный газ из полости трубопровода азотом?</x:v>
      </x:c>
      <x:c r="B90" s="57"/>
      <x:c r="C90" s="57"/>
      <x:c r="D90" s="57"/>
      <x:c r="E90" s="57"/>
      <x:c r="F90" s="57"/>
      <x:c r="G90" s="57"/>
      <x:c r="H90" s="58"/>
      <x:c r="Z90" s="203"/>
      <x:c r="AA90" s="203"/>
    </x:row>
    <x:row r="91" ht="30" customHeight="1">
      <x:c r="A91" s="59"/>
      <x:c r="B91" s="60"/>
      <x:c r="C91" s="60"/>
      <x:c r="D91" s="60"/>
      <x:c r="E91" s="60"/>
      <x:c r="F91" s="60"/>
      <x:c r="G91" s="60"/>
      <x:c r="H91" s="61"/>
      <x:c r="Z91" s="203"/>
      <x:c r="AA91" s="203"/>
    </x:row>
    <x:row r="92">
      <x:c r="Z92" s="203"/>
      <x:c r="AA92" s="203"/>
    </x:row>
    <x:row r="93" ht="28" customHeight="1">
      <x:c r="A93" s="86" t="str">
        <x:v>A</x:v>
      </x:c>
      <x:c r="B93" s="99" t="str">
        <x:v>До концентрации метана в смеси не более 10%.</x:v>
      </x:c>
      <x:c r="C93" s="100"/>
      <x:c r="D93" s="100"/>
      <x:c r="E93" s="100"/>
      <x:c r="F93" s="100"/>
      <x:c r="G93" s="100"/>
      <x:c r="H93" s="101"/>
      <x:c r="Z93" s="203"/>
      <x:c r="AA93" s="203"/>
    </x:row>
    <x:row r="94" ht="28" customHeight="1">
      <x:c r="A94" s="86" t="str">
        <x:v>B</x:v>
      </x:c>
      <x:c r="B94" s="99" t="str">
        <x:v>До концентрации метана в смеси не более 1%.</x:v>
      </x:c>
      <x:c r="C94" s="100"/>
      <x:c r="D94" s="100"/>
      <x:c r="E94" s="100"/>
      <x:c r="F94" s="100"/>
      <x:c r="G94" s="100"/>
      <x:c r="H94" s="101"/>
      <x:c r="Z94" s="203"/>
      <x:c r="AA94" s="203"/>
    </x:row>
    <x:row r="95" ht="28" customHeight="1">
      <x:c r="A95" s="86" t="str">
        <x:v>C</x:v>
      </x:c>
      <x:c r="B95" s="99" t="str">
        <x:v>До концентрации метана в смеси не более 2%.</x:v>
      </x:c>
      <x:c r="C95" s="100"/>
      <x:c r="D95" s="100"/>
      <x:c r="E95" s="100"/>
      <x:c r="F95" s="100"/>
      <x:c r="G95" s="100"/>
      <x:c r="H95" s="101"/>
      <x:c r="Z95" s="203"/>
      <x:c r="AA95" s="203"/>
    </x:row>
    <x:row r="96" ht="28" customHeight="1">
      <x:c r="A96" s="86" t="str">
        <x:v>D</x:v>
      </x:c>
      <x:c r="B96" s="99" t="str">
        <x:v>До концентрации метана в смеси не более 0,5%.</x:v>
      </x:c>
      <x:c r="C96" s="100"/>
      <x:c r="D96" s="100"/>
      <x:c r="E96" s="100"/>
      <x:c r="F96" s="100"/>
      <x:c r="G96" s="100"/>
      <x:c r="H96" s="101"/>
      <x:c r="Z96" s="203"/>
      <x:c r="AA96" s="203"/>
    </x:row>
    <x:row r="97">
      <x:c r="Z97" s="203"/>
      <x:c r="AA97" s="203"/>
    </x:row>
    <x:row r="98" ht="30" customHeight="1">
      <x:c r="A98" s="116" t="str">
        <x:v>Ваш ответ:</x:v>
      </x:c>
      <x:c r="B98" s="117"/>
      <x:c r="C98" s="132" t="str"/>
      <x:c r="D98" s="133"/>
      <x:c r="E98" s="133"/>
      <x:c r="F98" s="133"/>
      <x:c r="G98" s="133"/>
      <x:c r="H98" s="134"/>
      <x:c r="Z98" s="203" t="n">
        <x:f>IF(C98="",0,IF(C98="B",1,0))</x:f>
        <x:v>0</x:v>
      </x:c>
      <x:c r="AA98" s="203" t="n">
        <x:f>IF(C98="",0,1)</x:f>
        <x:v>0</x:v>
      </x:c>
    </x:row>
    <x:row r="99">
      <x:c r="Z99" s="203"/>
      <x:c r="AA99" s="203"/>
    </x:row>
    <x:row r="100" ht="30" customHeight="1">
      <x:c r="A100" s="341" t="str">
        <x:v>Комментарий:</x:v>
      </x:c>
      <x:c r="B100" s="342"/>
      <x:c r="C100" s="176" t="str">
        <x:f>IF(C98="","Выберите ответ.",IF(C98="A","Неверно. Указано другое нормативное значение или предел. Правильный вариант: B.",IF(C98="B","Верно. Указано нормативное значение или предел, приведённый в исходном тесте.",IF(C98="C","Неверно. Указано другое нормативное значение или предел. Правильный вариант: B.",IF(C98="D","Неверно. Указано другое нормативное значение или предел. Правильный вариант: B.","Неверно. Ответ не распознан. Правильный вариант: B.")))))</x:f>
        <x:v>Выберите ответ.</x:v>
      </x:c>
      <x:c r="D100" s="177"/>
      <x:c r="E100" s="177"/>
      <x:c r="F100" s="177"/>
      <x:c r="G100" s="177"/>
      <x:c r="H100" s="178"/>
      <x:c r="Z100" s="203"/>
      <x:c r="AA100" s="203"/>
    </x:row>
    <x:row r="101" ht="30" customHeight="1">
      <x:c r="A101" s="308"/>
      <x:c r="B101" s="308"/>
      <x:c r="C101" s="179"/>
      <x:c r="D101" s="180"/>
      <x:c r="E101" s="180"/>
      <x:c r="F101" s="180"/>
      <x:c r="G101" s="180"/>
      <x:c r="H101" s="181"/>
      <x:c r="Z101" s="203"/>
      <x:c r="AA101" s="203"/>
    </x:row>
    <x:row r="102">
      <x:c r="Z102" s="203"/>
      <x:c r="AA102" s="203"/>
    </x:row>
    <x:row r="103" ht="24" customHeight="1">
      <x:c r="A103" s="38" t="str">
        <x:v>Вопрос 8 из 25</x:v>
      </x:c>
      <x:c r="B103" s="38"/>
      <x:c r="C103" s="38"/>
      <x:c r="D103" s="38"/>
      <x:c r="E103" s="38"/>
      <x:c r="F103" s="38"/>
      <x:c r="G103" s="38"/>
      <x:c r="H103" s="38"/>
      <x:c r="Z103" s="203"/>
      <x:c r="AA103" s="203"/>
    </x:row>
    <x:row r="104" ht="30" customHeight="1">
      <x:c r="A104" s="56" t="str">
        <x:v>Что необходимо сделать при обнаружении загазованности воздуха рабочей зоны выше ПДК?</x:v>
      </x:c>
      <x:c r="B104" s="57"/>
      <x:c r="C104" s="57"/>
      <x:c r="D104" s="57"/>
      <x:c r="E104" s="57"/>
      <x:c r="F104" s="57"/>
      <x:c r="G104" s="57"/>
      <x:c r="H104" s="58"/>
      <x:c r="Z104" s="203"/>
      <x:c r="AA104" s="203"/>
    </x:row>
    <x:row r="105" ht="30" customHeight="1">
      <x:c r="A105" s="59"/>
      <x:c r="B105" s="60"/>
      <x:c r="C105" s="60"/>
      <x:c r="D105" s="60"/>
      <x:c r="E105" s="60"/>
      <x:c r="F105" s="60"/>
      <x:c r="G105" s="60"/>
      <x:c r="H105" s="61"/>
      <x:c r="Z105" s="203"/>
      <x:c r="AA105" s="203"/>
    </x:row>
    <x:row r="106">
      <x:c r="Z106" s="203"/>
      <x:c r="AA106" s="203"/>
    </x:row>
    <x:row r="107" ht="28" customHeight="1">
      <x:c r="A107" s="86" t="str">
        <x:v>A</x:v>
      </x:c>
      <x:c r="B107" s="99" t="str">
        <x:v>Применить СИЗОД.</x:v>
      </x:c>
      <x:c r="C107" s="100"/>
      <x:c r="D107" s="100"/>
      <x:c r="E107" s="100"/>
      <x:c r="F107" s="100"/>
      <x:c r="G107" s="100"/>
      <x:c r="H107" s="101"/>
      <x:c r="Z107" s="203"/>
      <x:c r="AA107" s="203"/>
    </x:row>
    <x:row r="108" ht="28" customHeight="1">
      <x:c r="A108" s="86" t="str">
        <x:v>B</x:v>
      </x:c>
      <x:c r="B108" s="99" t="str">
        <x:v>Оповестить работников о возникновении опасности.</x:v>
      </x:c>
      <x:c r="C108" s="100"/>
      <x:c r="D108" s="100"/>
      <x:c r="E108" s="100"/>
      <x:c r="F108" s="100"/>
      <x:c r="G108" s="100"/>
      <x:c r="H108" s="101"/>
      <x:c r="Z108" s="203"/>
      <x:c r="AA108" s="203"/>
    </x:row>
    <x:row r="109" ht="28" customHeight="1">
      <x:c r="A109" s="86" t="str">
        <x:v>C</x:v>
      </x:c>
      <x:c r="B109" s="99" t="str">
        <x:v>Вывести работников из опасной зоны.</x:v>
      </x:c>
      <x:c r="C109" s="100"/>
      <x:c r="D109" s="100"/>
      <x:c r="E109" s="100"/>
      <x:c r="F109" s="100"/>
      <x:c r="G109" s="100"/>
      <x:c r="H109" s="101"/>
      <x:c r="Z109" s="203"/>
      <x:c r="AA109" s="203"/>
    </x:row>
    <x:row r="110" ht="28" customHeight="1">
      <x:c r="A110" s="86" t="str">
        <x:v>D</x:v>
      </x:c>
      <x:c r="B110" s="99" t="str">
        <x:v>Принять меры к обозначению опасной зоны.</x:v>
      </x:c>
      <x:c r="C110" s="100"/>
      <x:c r="D110" s="100"/>
      <x:c r="E110" s="100"/>
      <x:c r="F110" s="100"/>
      <x:c r="G110" s="100"/>
      <x:c r="H110" s="101"/>
      <x:c r="Z110" s="203"/>
      <x:c r="AA110" s="203"/>
    </x:row>
    <x:row r="111">
      <x:c r="Z111" s="203"/>
      <x:c r="AA111" s="203"/>
    </x:row>
    <x:row r="112" ht="30" customHeight="1">
      <x:c r="A112" s="116" t="str">
        <x:v>Ваш ответ:</x:v>
      </x:c>
      <x:c r="B112" s="117"/>
      <x:c r="C112" s="132" t="str"/>
      <x:c r="D112" s="133"/>
      <x:c r="E112" s="133"/>
      <x:c r="F112" s="133"/>
      <x:c r="G112" s="133"/>
      <x:c r="H112" s="134"/>
      <x:c r="Z112" s="203" t="n">
        <x:f>IF(C112="",0,IF(C112="A,B,C,D",1,0))</x:f>
        <x:v>0</x:v>
      </x:c>
      <x:c r="AA112" s="203" t="n">
        <x:f>IF(C112="",0,1)</x:f>
        <x:v>0</x:v>
      </x:c>
    </x:row>
    <x:row r="113">
      <x:c r="Z113" s="203"/>
      <x:c r="AA113" s="203"/>
    </x:row>
    <x:row r="114" ht="30" customHeight="1">
      <x:c r="A114" s="341" t="str">
        <x:v>Комментарий:</x:v>
      </x:c>
      <x:c r="B114" s="342"/>
      <x:c r="C114" s="176" t="str">
        <x:f>IF(C112="","Выберите ответ.",IF(C112="A,B,C,D","Верно. В исходном тесте требуется именно эта комбинация пунктов: A,B,C,D.","Неверно. Комбинация неполная или содержит лишний пункт. По ключу теста правильная комбинация: A,B,C,D."))</x:f>
        <x:v>Выберите ответ.</x:v>
      </x:c>
      <x:c r="D114" s="177"/>
      <x:c r="E114" s="177"/>
      <x:c r="F114" s="177"/>
      <x:c r="G114" s="177"/>
      <x:c r="H114" s="178"/>
      <x:c r="Z114" s="203"/>
      <x:c r="AA114" s="203"/>
    </x:row>
    <x:row r="115" ht="30" customHeight="1">
      <x:c r="A115" s="308"/>
      <x:c r="B115" s="308"/>
      <x:c r="C115" s="179"/>
      <x:c r="D115" s="180"/>
      <x:c r="E115" s="180"/>
      <x:c r="F115" s="180"/>
      <x:c r="G115" s="180"/>
      <x:c r="H115" s="181"/>
      <x:c r="Z115" s="203"/>
      <x:c r="AA115" s="203"/>
    </x:row>
    <x:row r="116">
      <x:c r="Z116" s="203"/>
      <x:c r="AA116" s="203"/>
    </x:row>
    <x:row r="117" ht="24" customHeight="1">
      <x:c r="A117" s="38" t="str">
        <x:v>Вопрос 9 из 25</x:v>
      </x:c>
      <x:c r="B117" s="38"/>
      <x:c r="C117" s="38"/>
      <x:c r="D117" s="38"/>
      <x:c r="E117" s="38"/>
      <x:c r="F117" s="38"/>
      <x:c r="G117" s="38"/>
      <x:c r="H117" s="38"/>
      <x:c r="Z117" s="203"/>
      <x:c r="AA117" s="203"/>
    </x:row>
    <x:row r="118" ht="30" customHeight="1">
      <x:c r="A118" s="56" t="str">
        <x:v>В течении какого времени действителен наряд-допуск на газоопасные работы?</x:v>
      </x:c>
      <x:c r="B118" s="57"/>
      <x:c r="C118" s="57"/>
      <x:c r="D118" s="57"/>
      <x:c r="E118" s="57"/>
      <x:c r="F118" s="57"/>
      <x:c r="G118" s="57"/>
      <x:c r="H118" s="58"/>
      <x:c r="Z118" s="203"/>
      <x:c r="AA118" s="203"/>
    </x:row>
    <x:row r="119" ht="30" customHeight="1">
      <x:c r="A119" s="59"/>
      <x:c r="B119" s="60"/>
      <x:c r="C119" s="60"/>
      <x:c r="D119" s="60"/>
      <x:c r="E119" s="60"/>
      <x:c r="F119" s="60"/>
      <x:c r="G119" s="60"/>
      <x:c r="H119" s="61"/>
      <x:c r="Z119" s="203"/>
      <x:c r="AA119" s="203"/>
    </x:row>
    <x:row r="120">
      <x:c r="Z120" s="203"/>
      <x:c r="AA120" s="203"/>
    </x:row>
    <x:row r="121" ht="28" customHeight="1">
      <x:c r="A121" s="86" t="str">
        <x:v>A</x:v>
      </x:c>
      <x:c r="B121" s="99" t="str">
        <x:v>В течение семи смен.</x:v>
      </x:c>
      <x:c r="C121" s="100"/>
      <x:c r="D121" s="100"/>
      <x:c r="E121" s="100"/>
      <x:c r="F121" s="100"/>
      <x:c r="G121" s="100"/>
      <x:c r="H121" s="101"/>
      <x:c r="Z121" s="203"/>
      <x:c r="AA121" s="203"/>
    </x:row>
    <x:row r="122" ht="28" customHeight="1">
      <x:c r="A122" s="86" t="str">
        <x:v>B</x:v>
      </x:c>
      <x:c r="B122" s="99" t="str">
        <x:v>В течение одной смены.</x:v>
      </x:c>
      <x:c r="C122" s="100"/>
      <x:c r="D122" s="100"/>
      <x:c r="E122" s="100"/>
      <x:c r="F122" s="100"/>
      <x:c r="G122" s="100"/>
      <x:c r="H122" s="101"/>
      <x:c r="Z122" s="203"/>
      <x:c r="AA122" s="203"/>
    </x:row>
    <x:row r="123" ht="28" customHeight="1">
      <x:c r="A123" s="86" t="str">
        <x:v>C</x:v>
      </x:c>
      <x:c r="B123" s="99" t="str">
        <x:v>В течение одной дневной рабочей смены.</x:v>
      </x:c>
      <x:c r="C123" s="100"/>
      <x:c r="D123" s="100"/>
      <x:c r="E123" s="100"/>
      <x:c r="F123" s="100"/>
      <x:c r="G123" s="100"/>
      <x:c r="H123" s="101"/>
      <x:c r="Z123" s="203"/>
      <x:c r="AA123" s="203"/>
    </x:row>
    <x:row r="124" ht="28" customHeight="1">
      <x:c r="A124" s="86" t="str">
        <x:v>D</x:v>
      </x:c>
      <x:c r="B124" s="99" t="str">
        <x:v>В течение необходимого количества смен.</x:v>
      </x:c>
      <x:c r="C124" s="100"/>
      <x:c r="D124" s="100"/>
      <x:c r="E124" s="100"/>
      <x:c r="F124" s="100"/>
      <x:c r="G124" s="100"/>
      <x:c r="H124" s="101"/>
      <x:c r="Z124" s="203"/>
      <x:c r="AA124" s="203"/>
    </x:row>
    <x:row r="125">
      <x:c r="Z125" s="203"/>
      <x:c r="AA125" s="203"/>
    </x:row>
    <x:row r="126" ht="30" customHeight="1">
      <x:c r="A126" s="116" t="str">
        <x:v>Ваш ответ:</x:v>
      </x:c>
      <x:c r="B126" s="117"/>
      <x:c r="C126" s="132" t="str"/>
      <x:c r="D126" s="133"/>
      <x:c r="E126" s="133"/>
      <x:c r="F126" s="133"/>
      <x:c r="G126" s="133"/>
      <x:c r="H126" s="134"/>
      <x:c r="Z126" s="203" t="n">
        <x:f>IF(C126="",0,IF(C126="C",1,0))</x:f>
        <x:v>0</x:v>
      </x:c>
      <x:c r="AA126" s="203" t="n">
        <x:f>IF(C126="",0,1)</x:f>
        <x:v>0</x:v>
      </x:c>
    </x:row>
    <x:row r="127">
      <x:c r="Z127" s="203"/>
      <x:c r="AA127" s="203"/>
    </x:row>
    <x:row r="128" ht="30" customHeight="1">
      <x:c r="A128" s="341" t="str">
        <x:v>Комментарий:</x:v>
      </x:c>
      <x:c r="B128" s="342"/>
      <x:c r="C128" s="176" t="str">
        <x:f>IF(C126="","Выберите ответ.",IF(C126="A","Неверно. Этот вариант не соответствует ключу исходного теста. Правильный вариант: C.",IF(C126="B","Неверно. Этот вариант не соответствует ключу исходного теста. Правильный вариант: C.",IF(C126="C","Верно. Этот вариант соответствует ключу исходного теста.",IF(C126="D","Неверно.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128" s="177"/>
      <x:c r="E128" s="177"/>
      <x:c r="F128" s="177"/>
      <x:c r="G128" s="177"/>
      <x:c r="H128" s="178"/>
      <x:c r="Z128" s="203"/>
      <x:c r="AA128" s="203"/>
    </x:row>
    <x:row r="129" ht="30" customHeight="1">
      <x:c r="A129" s="308"/>
      <x:c r="B129" s="308"/>
      <x:c r="C129" s="179"/>
      <x:c r="D129" s="180"/>
      <x:c r="E129" s="180"/>
      <x:c r="F129" s="180"/>
      <x:c r="G129" s="180"/>
      <x:c r="H129" s="181"/>
      <x:c r="Z129" s="203"/>
      <x:c r="AA129" s="203"/>
    </x:row>
    <x:row r="130">
      <x:c r="Z130" s="203"/>
      <x:c r="AA130" s="203"/>
    </x:row>
    <x:row r="131" ht="24" customHeight="1">
      <x:c r="A131" s="38" t="str">
        <x:v>Вопрос 10 из 25</x:v>
      </x:c>
      <x:c r="B131" s="38"/>
      <x:c r="C131" s="38"/>
      <x:c r="D131" s="38"/>
      <x:c r="E131" s="38"/>
      <x:c r="F131" s="38"/>
      <x:c r="G131" s="38"/>
      <x:c r="H131" s="38"/>
      <x:c r="Z131" s="203"/>
      <x:c r="AA131" s="203"/>
    </x:row>
    <x:row r="132" ht="30" customHeight="1">
      <x:c r="A132" s="56" t="str">
        <x:v>Ответственными лицами за организацию и безопасное проведение газоопасных работ в Обществе являются:</x:v>
      </x:c>
      <x:c r="B132" s="57"/>
      <x:c r="C132" s="57"/>
      <x:c r="D132" s="57"/>
      <x:c r="E132" s="57"/>
      <x:c r="F132" s="57"/>
      <x:c r="G132" s="57"/>
      <x:c r="H132" s="58"/>
      <x:c r="Z132" s="203"/>
      <x:c r="AA132" s="203"/>
    </x:row>
    <x:row r="133" ht="30" customHeight="1">
      <x:c r="A133" s="59"/>
      <x:c r="B133" s="60"/>
      <x:c r="C133" s="60"/>
      <x:c r="D133" s="60"/>
      <x:c r="E133" s="60"/>
      <x:c r="F133" s="60"/>
      <x:c r="G133" s="60"/>
      <x:c r="H133" s="61"/>
      <x:c r="Z133" s="203"/>
      <x:c r="AA133" s="203"/>
    </x:row>
    <x:row r="134">
      <x:c r="Z134" s="203"/>
      <x:c r="AA134" s="203"/>
    </x:row>
    <x:row r="135" ht="28" customHeight="1">
      <x:c r="A135" s="86" t="str">
        <x:v>A</x:v>
      </x:c>
      <x:c r="B135" s="99" t="str">
        <x:v>Генеральный директор Общества.</x:v>
      </x:c>
      <x:c r="C135" s="100"/>
      <x:c r="D135" s="100"/>
      <x:c r="E135" s="100"/>
      <x:c r="F135" s="100"/>
      <x:c r="G135" s="100"/>
      <x:c r="H135" s="101"/>
      <x:c r="Z135" s="203"/>
      <x:c r="AA135" s="203"/>
    </x:row>
    <x:row r="136" ht="28" customHeight="1">
      <x:c r="A136" s="86" t="str">
        <x:v>B</x:v>
      </x:c>
      <x:c r="B136" s="99" t="str">
        <x:v>Главный инженер - первый заместитель генерального директора Общества.</x:v>
      </x:c>
      <x:c r="C136" s="100"/>
      <x:c r="D136" s="100"/>
      <x:c r="E136" s="100"/>
      <x:c r="F136" s="100"/>
      <x:c r="G136" s="100"/>
      <x:c r="H136" s="101"/>
      <x:c r="Z136" s="203"/>
      <x:c r="AA136" s="203"/>
    </x:row>
    <x:row r="137" ht="28" customHeight="1">
      <x:c r="A137" s="86" t="str">
        <x:v>C</x:v>
      </x:c>
      <x:c r="B137" s="99" t="str">
        <x:v>Заместитель генерального директора по производству.</x:v>
      </x:c>
      <x:c r="C137" s="100"/>
      <x:c r="D137" s="100"/>
      <x:c r="E137" s="100"/>
      <x:c r="F137" s="100"/>
      <x:c r="G137" s="100"/>
      <x:c r="H137" s="101"/>
      <x:c r="Z137" s="203"/>
      <x:c r="AA137" s="203"/>
    </x:row>
    <x:row r="138" ht="28" customHeight="1">
      <x:c r="A138" s="86" t="str">
        <x:v>D</x:v>
      </x:c>
      <x:c r="B138" s="99" t="str">
        <x:v>Руководители производственно-технических отделов и служб администрации Общества.</x:v>
      </x:c>
      <x:c r="C138" s="100"/>
      <x:c r="D138" s="100"/>
      <x:c r="E138" s="100"/>
      <x:c r="F138" s="100"/>
      <x:c r="G138" s="100"/>
      <x:c r="H138" s="101"/>
      <x:c r="Z138" s="203"/>
      <x:c r="AA138" s="203"/>
    </x:row>
    <x:row r="139">
      <x:c r="Z139" s="203"/>
      <x:c r="AA139" s="203"/>
    </x:row>
    <x:row r="140" ht="30" customHeight="1">
      <x:c r="A140" s="116" t="str">
        <x:v>Ваш ответ:</x:v>
      </x:c>
      <x:c r="B140" s="117"/>
      <x:c r="C140" s="132" t="str"/>
      <x:c r="D140" s="133"/>
      <x:c r="E140" s="133"/>
      <x:c r="F140" s="133"/>
      <x:c r="G140" s="133"/>
      <x:c r="H140" s="134"/>
      <x:c r="Z140" s="203" t="n">
        <x:f>IF(C140="",0,IF(C140="B,D",1,0))</x:f>
        <x:v>0</x:v>
      </x:c>
      <x:c r="AA140" s="203" t="n">
        <x:f>IF(C140="",0,1)</x:f>
        <x:v>0</x:v>
      </x:c>
    </x:row>
    <x:row r="141">
      <x:c r="Z141" s="203"/>
      <x:c r="AA141" s="203"/>
    </x:row>
    <x:row r="142" ht="30" customHeight="1">
      <x:c r="A142" s="341" t="str">
        <x:v>Комментарий:</x:v>
      </x:c>
      <x:c r="B142" s="342"/>
      <x:c r="C142" s="176" t="str">
        <x:f>IF(C140="","Выберите ответ.",IF(C140="B,D","Верно. В исходном тесте требуется именно эта комбинация пунктов: B,D.","Неверно. Комбинация неполная или содержит лишний пункт. По ключу теста правильная комбинация: B,D."))</x:f>
        <x:v>Выберите ответ.</x:v>
      </x:c>
      <x:c r="D142" s="177"/>
      <x:c r="E142" s="177"/>
      <x:c r="F142" s="177"/>
      <x:c r="G142" s="177"/>
      <x:c r="H142" s="178"/>
      <x:c r="Z142" s="203"/>
      <x:c r="AA142" s="203"/>
    </x:row>
    <x:row r="143" ht="30" customHeight="1">
      <x:c r="A143" s="308"/>
      <x:c r="B143" s="308"/>
      <x:c r="C143" s="179"/>
      <x:c r="D143" s="180"/>
      <x:c r="E143" s="180"/>
      <x:c r="F143" s="180"/>
      <x:c r="G143" s="180"/>
      <x:c r="H143" s="181"/>
      <x:c r="Z143" s="203"/>
      <x:c r="AA143" s="203"/>
    </x:row>
    <x:row r="144">
      <x:c r="Z144" s="203"/>
      <x:c r="AA144" s="203"/>
    </x:row>
    <x:row r="145" ht="24" customHeight="1">
      <x:c r="A145" s="38" t="str">
        <x:v>Вопрос 11 из 25</x:v>
      </x:c>
      <x:c r="B145" s="38"/>
      <x:c r="C145" s="38"/>
      <x:c r="D145" s="38"/>
      <x:c r="E145" s="38"/>
      <x:c r="F145" s="38"/>
      <x:c r="G145" s="38"/>
      <x:c r="H145" s="38"/>
      <x:c r="Z145" s="203"/>
      <x:c r="AA145" s="203"/>
    </x:row>
    <x:row r="146" ht="42" customHeight="1">
      <x:c r="A146" s="56" t="str">
        <x:v>На какой высоте должны отбираться пробы воздуха при величине отношения плотности газов и паров к плотности воздуха менее 1?</x:v>
      </x:c>
      <x:c r="B146" s="57"/>
      <x:c r="C146" s="57"/>
      <x:c r="D146" s="57"/>
      <x:c r="E146" s="57"/>
      <x:c r="F146" s="57"/>
      <x:c r="G146" s="57"/>
      <x:c r="H146" s="58"/>
      <x:c r="Z146" s="203"/>
      <x:c r="AA146" s="203"/>
    </x:row>
    <x:row r="147" ht="42" customHeight="1">
      <x:c r="A147" s="59"/>
      <x:c r="B147" s="60"/>
      <x:c r="C147" s="60"/>
      <x:c r="D147" s="60"/>
      <x:c r="E147" s="60"/>
      <x:c r="F147" s="60"/>
      <x:c r="G147" s="60"/>
      <x:c r="H147" s="61"/>
      <x:c r="Z147" s="203"/>
      <x:c r="AA147" s="203"/>
    </x:row>
    <x:row r="148">
      <x:c r="Z148" s="203"/>
      <x:c r="AA148" s="203"/>
    </x:row>
    <x:row r="149" ht="28" customHeight="1">
      <x:c r="A149" s="86" t="str">
        <x:v>A</x:v>
      </x:c>
      <x:c r="B149" s="99" t="str">
        <x:v>На высоте от 1,3 до 1,8 м.</x:v>
      </x:c>
      <x:c r="C149" s="100"/>
      <x:c r="D149" s="100"/>
      <x:c r="E149" s="100"/>
      <x:c r="F149" s="100"/>
      <x:c r="G149" s="100"/>
      <x:c r="H149" s="101"/>
      <x:c r="Z149" s="203"/>
      <x:c r="AA149" s="203"/>
    </x:row>
    <x:row r="150" ht="28" customHeight="1">
      <x:c r="A150" s="86" t="str">
        <x:v>B</x:v>
      </x:c>
      <x:c r="B150" s="99" t="str">
        <x:v>На высоте от 1,0 до 1,5 м.</x:v>
      </x:c>
      <x:c r="C150" s="100"/>
      <x:c r="D150" s="100"/>
      <x:c r="E150" s="100"/>
      <x:c r="F150" s="100"/>
      <x:c r="G150" s="100"/>
      <x:c r="H150" s="101"/>
      <x:c r="Z150" s="203"/>
      <x:c r="AA150" s="203"/>
    </x:row>
    <x:row r="151" ht="28" customHeight="1">
      <x:c r="A151" s="86" t="str">
        <x:v>C</x:v>
      </x:c>
      <x:c r="B151" s="99" t="str">
        <x:v>На высоте от 0,2 до 1 м.</x:v>
      </x:c>
      <x:c r="C151" s="100"/>
      <x:c r="D151" s="100"/>
      <x:c r="E151" s="100"/>
      <x:c r="F151" s="100"/>
      <x:c r="G151" s="100"/>
      <x:c r="H151" s="101"/>
      <x:c r="Z151" s="203"/>
      <x:c r="AA151" s="203"/>
    </x:row>
    <x:row r="152" ht="28" customHeight="1">
      <x:c r="A152" s="86" t="str">
        <x:v>D</x:v>
      </x:c>
      <x:c r="B152" s="99" t="str">
        <x:v>На высоте не более 0,5 м над площадкой обслуживания.</x:v>
      </x:c>
      <x:c r="C152" s="100"/>
      <x:c r="D152" s="100"/>
      <x:c r="E152" s="100"/>
      <x:c r="F152" s="100"/>
      <x:c r="G152" s="100"/>
      <x:c r="H152" s="101"/>
      <x:c r="Z152" s="203"/>
      <x:c r="AA152" s="203"/>
    </x:row>
    <x:row r="153">
      <x:c r="Z153" s="203"/>
      <x:c r="AA153" s="203"/>
    </x:row>
    <x:row r="154" ht="30" customHeight="1">
      <x:c r="A154" s="116" t="str">
        <x:v>Ваш ответ:</x:v>
      </x:c>
      <x:c r="B154" s="117"/>
      <x:c r="C154" s="132" t="str"/>
      <x:c r="D154" s="133"/>
      <x:c r="E154" s="133"/>
      <x:c r="F154" s="133"/>
      <x:c r="G154" s="133"/>
      <x:c r="H154" s="134"/>
      <x:c r="Z154" s="203" t="n">
        <x:f>IF(C154="",0,IF(C154="A",1,0))</x:f>
        <x:v>0</x:v>
      </x:c>
      <x:c r="AA154" s="203" t="n">
        <x:f>IF(C154="",0,1)</x:f>
        <x:v>0</x:v>
      </x:c>
    </x:row>
    <x:row r="155">
      <x:c r="Z155" s="203"/>
      <x:c r="AA155" s="203"/>
    </x:row>
    <x:row r="156" ht="30" customHeight="1">
      <x:c r="A156" s="341" t="str">
        <x:v>Комментарий:</x:v>
      </x:c>
      <x:c r="B156" s="342"/>
      <x:c r="C156" s="176" t="str">
        <x:f>IF(C154="","Выберите ответ.",IF(C154="A","Верно. Это значение соответствует расчёту, заложенному в исходном тесте.",IF(C154="B","Неверно. Числовой результат не соответствует расчёту исходного теста. Правильный вариант: A.",IF(C154="C","Неверно. Числовой результат не соответствует расчёту исходного теста. Правильный вариант: A.",IF(C154="D","Неверно. Числовой результат не соответствует расчёту исходного теста. Правильный вариант: A.","Неверно. Ответ не распознан. Правильный вариант: A.")))))</x:f>
        <x:v>Выберите ответ.</x:v>
      </x:c>
      <x:c r="D156" s="177"/>
      <x:c r="E156" s="177"/>
      <x:c r="F156" s="177"/>
      <x:c r="G156" s="177"/>
      <x:c r="H156" s="178"/>
      <x:c r="Z156" s="203"/>
      <x:c r="AA156" s="203"/>
    </x:row>
    <x:row r="157" ht="30" customHeight="1">
      <x:c r="A157" s="308"/>
      <x:c r="B157" s="308"/>
      <x:c r="C157" s="179"/>
      <x:c r="D157" s="180"/>
      <x:c r="E157" s="180"/>
      <x:c r="F157" s="180"/>
      <x:c r="G157" s="180"/>
      <x:c r="H157" s="181"/>
      <x:c r="Z157" s="203"/>
      <x:c r="AA157" s="203"/>
    </x:row>
    <x:row r="158">
      <x:c r="Z158" s="203"/>
      <x:c r="AA158" s="203"/>
    </x:row>
    <x:row r="159" ht="24" customHeight="1">
      <x:c r="A159" s="38" t="str">
        <x:v>Вопрос 12 из 25</x:v>
      </x:c>
      <x:c r="B159" s="38"/>
      <x:c r="C159" s="38"/>
      <x:c r="D159" s="38"/>
      <x:c r="E159" s="38"/>
      <x:c r="F159" s="38"/>
      <x:c r="G159" s="38"/>
      <x:c r="H159" s="38"/>
      <x:c r="Z159" s="203"/>
      <x:c r="AA159" s="203"/>
    </x:row>
    <x:row r="160" ht="30" customHeight="1">
      <x:c r="A160" s="56" t="str">
        <x:v>Как подбирается толщина заглушек, располагаемых между фланцами при проведении газоопасных работ?</x:v>
      </x:c>
      <x:c r="B160" s="57"/>
      <x:c r="C160" s="57"/>
      <x:c r="D160" s="57"/>
      <x:c r="E160" s="57"/>
      <x:c r="F160" s="57"/>
      <x:c r="G160" s="57"/>
      <x:c r="H160" s="58"/>
      <x:c r="Z160" s="203"/>
      <x:c r="AA160" s="203"/>
    </x:row>
    <x:row r="161" ht="30" customHeight="1">
      <x:c r="A161" s="59"/>
      <x:c r="B161" s="60"/>
      <x:c r="C161" s="60"/>
      <x:c r="D161" s="60"/>
      <x:c r="E161" s="60"/>
      <x:c r="F161" s="60"/>
      <x:c r="G161" s="60"/>
      <x:c r="H161" s="61"/>
      <x:c r="Z161" s="203"/>
      <x:c r="AA161" s="203"/>
    </x:row>
    <x:row r="162">
      <x:c r="Z162" s="203"/>
      <x:c r="AA162" s="203"/>
    </x:row>
    <x:row r="163" ht="28" customHeight="1">
      <x:c r="A163" s="86" t="str">
        <x:v>A</x:v>
      </x:c>
      <x:c r="B163" s="99" t="str">
        <x:v>Из расчета на максимально возможное давление, но не менее 3 мм.</x:v>
      </x:c>
      <x:c r="C163" s="100"/>
      <x:c r="D163" s="100"/>
      <x:c r="E163" s="100"/>
      <x:c r="F163" s="100"/>
      <x:c r="G163" s="100"/>
      <x:c r="H163" s="101"/>
      <x:c r="Z163" s="203"/>
      <x:c r="AA163" s="203"/>
    </x:row>
    <x:row r="164" ht="28" customHeight="1">
      <x:c r="A164" s="86" t="str">
        <x:v>B</x:v>
      </x:c>
      <x:c r="B164" s="99" t="str">
        <x:v>В зависимости от агрессивности и рабочего давления среды.</x:v>
      </x:c>
      <x:c r="C164" s="100"/>
      <x:c r="D164" s="100"/>
      <x:c r="E164" s="100"/>
      <x:c r="F164" s="100"/>
      <x:c r="G164" s="100"/>
      <x:c r="H164" s="101"/>
      <x:c r="Z164" s="203"/>
      <x:c r="AA164" s="203"/>
    </x:row>
    <x:row r="165" ht="28" customHeight="1">
      <x:c r="A165" s="86" t="str">
        <x:v>C</x:v>
      </x:c>
      <x:c r="B165" s="99" t="str">
        <x:v>Толщина заглушки не менее 5 мм.</x:v>
      </x:c>
      <x:c r="C165" s="100"/>
      <x:c r="D165" s="100"/>
      <x:c r="E165" s="100"/>
      <x:c r="F165" s="100"/>
      <x:c r="G165" s="100"/>
      <x:c r="H165" s="101"/>
      <x:c r="Z165" s="203"/>
      <x:c r="AA165" s="203"/>
    </x:row>
    <x:row r="166" ht="40" customHeight="1">
      <x:c r="A166" s="86" t="str">
        <x:v>D</x:v>
      </x:c>
      <x:c r="B166" s="99" t="str">
        <x:v>Основным критерием подбора является возможность быстрой установки и снятия заглушки.</x:v>
      </x:c>
      <x:c r="C166" s="100"/>
      <x:c r="D166" s="100"/>
      <x:c r="E166" s="100"/>
      <x:c r="F166" s="100"/>
      <x:c r="G166" s="100"/>
      <x:c r="H166" s="101"/>
      <x:c r="Z166" s="203"/>
      <x:c r="AA166" s="203"/>
    </x:row>
    <x:row r="167">
      <x:c r="Z167" s="203"/>
      <x:c r="AA167" s="203"/>
    </x:row>
    <x:row r="168" ht="30" customHeight="1">
      <x:c r="A168" s="116" t="str">
        <x:v>Ваш ответ:</x:v>
      </x:c>
      <x:c r="B168" s="117"/>
      <x:c r="C168" s="132" t="str"/>
      <x:c r="D168" s="133"/>
      <x:c r="E168" s="133"/>
      <x:c r="F168" s="133"/>
      <x:c r="G168" s="133"/>
      <x:c r="H168" s="134"/>
      <x:c r="Z168" s="203" t="n">
        <x:f>IF(C168="",0,IF(C168="A",1,0))</x:f>
        <x:v>0</x:v>
      </x:c>
      <x:c r="AA168" s="203" t="n">
        <x:f>IF(C168="",0,1)</x:f>
        <x:v>0</x:v>
      </x:c>
    </x:row>
    <x:row r="169">
      <x:c r="Z169" s="203"/>
      <x:c r="AA169" s="203"/>
    </x:row>
    <x:row r="170" ht="30" customHeight="1">
      <x:c r="A170" s="341" t="str">
        <x:v>Комментарий:</x:v>
      </x:c>
      <x:c r="B170" s="342"/>
      <x:c r="C170" s="176" t="str">
        <x:f>IF(C168="","Выберите ответ.",IF(C168="A","Верно. Этот вариант соответствует ключу исходного теста.",IF(C168="B","Неверно. Этот вариант не соответствует ключу исходного теста. Правильный вариант: A.",IF(C168="C","Неверно. Этот вариант не соответствует ключу исходного теста. Правильный вариант: A.",IF(C168="D","Неверно. Этот вариант не соответствует ключу исходного теста. Правильный вариант: A.","Неверно. Ответ не распознан. Правильный вариант: A.")))))</x:f>
        <x:v>Выберите ответ.</x:v>
      </x:c>
      <x:c r="D170" s="177"/>
      <x:c r="E170" s="177"/>
      <x:c r="F170" s="177"/>
      <x:c r="G170" s="177"/>
      <x:c r="H170" s="178"/>
      <x:c r="Z170" s="203"/>
      <x:c r="AA170" s="203"/>
    </x:row>
    <x:row r="171" ht="30" customHeight="1">
      <x:c r="A171" s="308"/>
      <x:c r="B171" s="308"/>
      <x:c r="C171" s="179"/>
      <x:c r="D171" s="180"/>
      <x:c r="E171" s="180"/>
      <x:c r="F171" s="180"/>
      <x:c r="G171" s="180"/>
      <x:c r="H171" s="181"/>
      <x:c r="Z171" s="203"/>
      <x:c r="AA171" s="203"/>
    </x:row>
    <x:row r="172">
      <x:c r="Z172" s="203"/>
      <x:c r="AA172" s="203"/>
    </x:row>
    <x:row r="173" ht="24" customHeight="1">
      <x:c r="A173" s="38" t="str">
        <x:v>Вопрос 13 из 25</x:v>
      </x:c>
      <x:c r="B173" s="38"/>
      <x:c r="C173" s="38"/>
      <x:c r="D173" s="38"/>
      <x:c r="E173" s="38"/>
      <x:c r="F173" s="38"/>
      <x:c r="G173" s="38"/>
      <x:c r="H173" s="38"/>
      <x:c r="Z173" s="203"/>
      <x:c r="AA173" s="203"/>
    </x:row>
    <x:row r="174" ht="30" customHeight="1">
      <x:c r="A174" s="56" t="str">
        <x:v>С какой периодичностью должны пересматриваться и переутверждаться Перечни газоопасных работ?</x:v>
      </x:c>
      <x:c r="B174" s="57"/>
      <x:c r="C174" s="57"/>
      <x:c r="D174" s="57"/>
      <x:c r="E174" s="57"/>
      <x:c r="F174" s="57"/>
      <x:c r="G174" s="57"/>
      <x:c r="H174" s="58"/>
      <x:c r="Z174" s="203"/>
      <x:c r="AA174" s="203"/>
    </x:row>
    <x:row r="175" ht="30" customHeight="1">
      <x:c r="A175" s="59"/>
      <x:c r="B175" s="60"/>
      <x:c r="C175" s="60"/>
      <x:c r="D175" s="60"/>
      <x:c r="E175" s="60"/>
      <x:c r="F175" s="60"/>
      <x:c r="G175" s="60"/>
      <x:c r="H175" s="61"/>
      <x:c r="Z175" s="203"/>
      <x:c r="AA175" s="203"/>
    </x:row>
    <x:row r="176">
      <x:c r="Z176" s="203"/>
      <x:c r="AA176" s="203"/>
    </x:row>
    <x:row r="177" ht="28" customHeight="1">
      <x:c r="A177" s="86" t="str">
        <x:v>A</x:v>
      </x:c>
      <x:c r="B177" s="99" t="str">
        <x:v>Не реже 1 раза в 3 года.</x:v>
      </x:c>
      <x:c r="C177" s="100"/>
      <x:c r="D177" s="100"/>
      <x:c r="E177" s="100"/>
      <x:c r="F177" s="100"/>
      <x:c r="G177" s="100"/>
      <x:c r="H177" s="101"/>
      <x:c r="Z177" s="203"/>
      <x:c r="AA177" s="203"/>
    </x:row>
    <x:row r="178" ht="28" customHeight="1">
      <x:c r="A178" s="86" t="str">
        <x:v>B</x:v>
      </x:c>
      <x:c r="B178" s="99" t="str">
        <x:v>По распоряжению главного инженера филиала.</x:v>
      </x:c>
      <x:c r="C178" s="100"/>
      <x:c r="D178" s="100"/>
      <x:c r="E178" s="100"/>
      <x:c r="F178" s="100"/>
      <x:c r="G178" s="100"/>
      <x:c r="H178" s="101"/>
      <x:c r="Z178" s="203"/>
      <x:c r="AA178" s="203"/>
    </x:row>
    <x:row r="179" ht="52" customHeight="1">
      <x:c r="A179" s="86" t="str">
        <x:v>C</x:v>
      </x:c>
      <x:c r="B179" s="99" t="str">
        <x:v>Не реже 1 раза в год пересматриваться и переутверждаться, а также при изменении технологического процесса и технологической схемы производства.</x:v>
      </x:c>
      <x:c r="C179" s="100"/>
      <x:c r="D179" s="100"/>
      <x:c r="E179" s="100"/>
      <x:c r="F179" s="100"/>
      <x:c r="G179" s="100"/>
      <x:c r="H179" s="101"/>
      <x:c r="Z179" s="203"/>
      <x:c r="AA179" s="203"/>
    </x:row>
    <x:row r="180" ht="28" customHeight="1">
      <x:c r="A180" s="86" t="str">
        <x:v>D</x:v>
      </x:c>
      <x:c r="B180" s="99" t="str">
        <x:v>При изменении технологического процесса и технологической схемы производства.</x:v>
      </x:c>
      <x:c r="C180" s="100"/>
      <x:c r="D180" s="100"/>
      <x:c r="E180" s="100"/>
      <x:c r="F180" s="100"/>
      <x:c r="G180" s="100"/>
      <x:c r="H180" s="101"/>
      <x:c r="Z180" s="203"/>
      <x:c r="AA180" s="203"/>
    </x:row>
    <x:row r="181" ht="28" customHeight="1">
      <x:c r="A181" s="86" t="str">
        <x:v>E</x:v>
      </x:c>
      <x:c r="B181" s="99" t="str">
        <x:v>При изменении технологического процесса.</x:v>
      </x:c>
      <x:c r="C181" s="100"/>
      <x:c r="D181" s="100"/>
      <x:c r="E181" s="100"/>
      <x:c r="F181" s="100"/>
      <x:c r="G181" s="100"/>
      <x:c r="H181" s="101"/>
      <x:c r="Z181" s="203"/>
      <x:c r="AA181" s="203"/>
    </x:row>
    <x:row r="182">
      <x:c r="Z182" s="203"/>
      <x:c r="AA182" s="203"/>
    </x:row>
    <x:row r="183" ht="30" customHeight="1">
      <x:c r="A183" s="116" t="str">
        <x:v>Ваш ответ:</x:v>
      </x:c>
      <x:c r="B183" s="117"/>
      <x:c r="C183" s="132" t="str"/>
      <x:c r="D183" s="133"/>
      <x:c r="E183" s="133"/>
      <x:c r="F183" s="133"/>
      <x:c r="G183" s="133"/>
      <x:c r="H183" s="134"/>
      <x:c r="Z183" s="203" t="n">
        <x:f>IF(C183="",0,IF(C183="C",1,0))</x:f>
        <x:v>0</x:v>
      </x:c>
      <x:c r="AA183" s="203" t="n">
        <x:f>IF(C183="",0,1)</x:f>
        <x:v>0</x:v>
      </x:c>
    </x:row>
    <x:row r="184">
      <x:c r="Z184" s="203"/>
      <x:c r="AA184" s="203"/>
    </x:row>
    <x:row r="185" ht="30" customHeight="1">
      <x:c r="A185" s="341" t="str">
        <x:v>Комментарий:</x:v>
      </x:c>
      <x:c r="B185" s="342"/>
      <x:c r="C185" s="176" t="str">
        <x:f>IF(C183="","Выберите ответ.",IF(C183="A","Неверно. Периодичность или порядок фиксации результатов указаны неверно. Правильный вариант: C.",IF(C183="B","Неверно. Периодичность или порядок фиксации результатов указаны неверно. Правильный вариант: C.",IF(C183="C","Верно. Периодичность и условие контроля соответствуют ключу теста.",IF(C183="D","Неверно. Формулировка неполная: пропущена часть обязательных признаков. Правильный вариант: C.",IF(C183="E","Неверно. Периодичность или порядок фиксации результатов указаны неверно. Правильный вариант: C.","Неверно. Ответ не распознан. Правильный вариант: C."))))))</x:f>
        <x:v>Выберите ответ.</x:v>
      </x:c>
      <x:c r="D185" s="177"/>
      <x:c r="E185" s="177"/>
      <x:c r="F185" s="177"/>
      <x:c r="G185" s="177"/>
      <x:c r="H185" s="178"/>
      <x:c r="Z185" s="203"/>
      <x:c r="AA185" s="203"/>
    </x:row>
    <x:row r="186" ht="30" customHeight="1">
      <x:c r="A186" s="308"/>
      <x:c r="B186" s="308"/>
      <x:c r="C186" s="179"/>
      <x:c r="D186" s="180"/>
      <x:c r="E186" s="180"/>
      <x:c r="F186" s="180"/>
      <x:c r="G186" s="180"/>
      <x:c r="H186" s="181"/>
      <x:c r="Z186" s="203"/>
      <x:c r="AA186" s="203"/>
    </x:row>
    <x:row r="187">
      <x:c r="Z187" s="203"/>
      <x:c r="AA187" s="203"/>
    </x:row>
    <x:row r="188" ht="24" customHeight="1">
      <x:c r="A188" s="38" t="str">
        <x:v>Вопрос 14 из 25</x:v>
      </x:c>
      <x:c r="B188" s="38"/>
      <x:c r="C188" s="38"/>
      <x:c r="D188" s="38"/>
      <x:c r="E188" s="38"/>
      <x:c r="F188" s="38"/>
      <x:c r="G188" s="38"/>
      <x:c r="H188" s="38"/>
      <x:c r="Z188" s="203"/>
      <x:c r="AA188" s="203"/>
    </x:row>
    <x:row r="189" ht="30" customHeight="1">
      <x:c r="A189" s="56" t="str">
        <x:v>Что должен сделать ответственный за проведение газоопасной работы в случае изменения состава бригады исполнителей?</x:v>
      </x:c>
      <x:c r="B189" s="57"/>
      <x:c r="C189" s="57"/>
      <x:c r="D189" s="57"/>
      <x:c r="E189" s="57"/>
      <x:c r="F189" s="57"/>
      <x:c r="G189" s="57"/>
      <x:c r="H189" s="58"/>
      <x:c r="Z189" s="203"/>
      <x:c r="AA189" s="203"/>
    </x:row>
    <x:row r="190" ht="30" customHeight="1">
      <x:c r="A190" s="59"/>
      <x:c r="B190" s="60"/>
      <x:c r="C190" s="60"/>
      <x:c r="D190" s="60"/>
      <x:c r="E190" s="60"/>
      <x:c r="F190" s="60"/>
      <x:c r="G190" s="60"/>
      <x:c r="H190" s="61"/>
      <x:c r="Z190" s="203"/>
      <x:c r="AA190" s="203"/>
    </x:row>
    <x:row r="191">
      <x:c r="Z191" s="203"/>
      <x:c r="AA191" s="203"/>
    </x:row>
    <x:row r="192" ht="28" customHeight="1">
      <x:c r="A192" s="86" t="str">
        <x:v>A</x:v>
      </x:c>
      <x:c r="B192" s="99" t="str">
        <x:v>Закрыть наряд-допуск.</x:v>
      </x:c>
      <x:c r="C192" s="100"/>
      <x:c r="D192" s="100"/>
      <x:c r="E192" s="100"/>
      <x:c r="F192" s="100"/>
      <x:c r="G192" s="100"/>
      <x:c r="H192" s="101"/>
      <x:c r="Z192" s="203"/>
      <x:c r="AA192" s="203"/>
    </x:row>
    <x:row r="193" ht="28" customHeight="1">
      <x:c r="A193" s="86" t="str">
        <x:v>B</x:v>
      </x:c>
      <x:c r="B193" s="99" t="str">
        <x:v>Уведомить начальника подразделения (лицо, выдавшее наряд-допуск).</x:v>
      </x:c>
      <x:c r="C193" s="100"/>
      <x:c r="D193" s="100"/>
      <x:c r="E193" s="100"/>
      <x:c r="F193" s="100"/>
      <x:c r="G193" s="100"/>
      <x:c r="H193" s="101"/>
      <x:c r="Z193" s="203"/>
      <x:c r="AA193" s="203"/>
    </x:row>
    <x:row r="194" ht="52" customHeight="1">
      <x:c r="A194" s="86" t="str">
        <x:v>C</x:v>
      </x:c>
      <x:c r="B194" s="99" t="str">
        <x:v>О выбывшем работнике сделать соответствующую запись в графе «Из бригады исключен: дата, время, подпись начальника подразделения» таблицы «Состав бригады и отметка о прохождении инструктажа».</x:v>
      </x:c>
      <x:c r="C194" s="100"/>
      <x:c r="D194" s="100"/>
      <x:c r="E194" s="100"/>
      <x:c r="F194" s="100"/>
      <x:c r="G194" s="100"/>
      <x:c r="H194" s="101"/>
      <x:c r="Z194" s="203"/>
      <x:c r="AA194" s="203"/>
    </x:row>
    <x:row r="195" ht="28" customHeight="1">
      <x:c r="A195" s="86" t="str">
        <x:v>D</x:v>
      </x:c>
      <x:c r="B195" s="99" t="str">
        <x:v>Перечисленные в п.п. 2 и 3.</x:v>
      </x:c>
      <x:c r="C195" s="100"/>
      <x:c r="D195" s="100"/>
      <x:c r="E195" s="100"/>
      <x:c r="F195" s="100"/>
      <x:c r="G195" s="100"/>
      <x:c r="H195" s="101"/>
      <x:c r="Z195" s="203"/>
      <x:c r="AA195" s="203"/>
    </x:row>
    <x:row r="196">
      <x:c r="Z196" s="203"/>
      <x:c r="AA196" s="203"/>
    </x:row>
    <x:row r="197" ht="30" customHeight="1">
      <x:c r="A197" s="116" t="str">
        <x:v>Ваш ответ:</x:v>
      </x:c>
      <x:c r="B197" s="117"/>
      <x:c r="C197" s="132" t="str"/>
      <x:c r="D197" s="133"/>
      <x:c r="E197" s="133"/>
      <x:c r="F197" s="133"/>
      <x:c r="G197" s="133"/>
      <x:c r="H197" s="134"/>
      <x:c r="Z197" s="203" t="n">
        <x:f>IF(C197="",0,IF(C197="D",1,0))</x:f>
        <x:v>0</x:v>
      </x:c>
      <x:c r="AA197" s="203" t="n">
        <x:f>IF(C197="",0,1)</x:f>
        <x:v>0</x:v>
      </x:c>
    </x:row>
    <x:row r="198">
      <x:c r="Z198" s="203"/>
      <x:c r="AA198" s="203"/>
    </x:row>
    <x:row r="199" ht="30" customHeight="1">
      <x:c r="A199" s="341" t="str">
        <x:v>Комментарий:</x:v>
      </x:c>
      <x:c r="B199" s="342"/>
      <x:c r="C199" s="176" t="str">
        <x:f>IF(C197="","Выберите ответ.",IF(C197="A","Неверно. Этот вариант не соответствует ключу исходного теста. Правильный вариант: D.",IF(C197="B","Неверно. Этот вариант не соответствует ключу исходного теста. Правильный вариант: D.",IF(C197="C","Неверно. Этот вариант не соответствует ключу исходного теста. Правильный вариант: D.",IF(C197="D","Верно. Этот вариант соответствует ключу исходного теста.","Неверно. Ответ не распознан. Правильный вариант: D.")))))</x:f>
        <x:v>Выберите ответ.</x:v>
      </x:c>
      <x:c r="D199" s="177"/>
      <x:c r="E199" s="177"/>
      <x:c r="F199" s="177"/>
      <x:c r="G199" s="177"/>
      <x:c r="H199" s="178"/>
      <x:c r="Z199" s="203"/>
      <x:c r="AA199" s="203"/>
    </x:row>
    <x:row r="200" ht="30" customHeight="1">
      <x:c r="A200" s="308"/>
      <x:c r="B200" s="308"/>
      <x:c r="C200" s="179"/>
      <x:c r="D200" s="180"/>
      <x:c r="E200" s="180"/>
      <x:c r="F200" s="180"/>
      <x:c r="G200" s="180"/>
      <x:c r="H200" s="181"/>
      <x:c r="Z200" s="203"/>
      <x:c r="AA200" s="203"/>
    </x:row>
    <x:row r="201">
      <x:c r="Z201" s="203"/>
      <x:c r="AA201" s="203"/>
    </x:row>
    <x:row r="202" ht="24" customHeight="1">
      <x:c r="A202" s="38" t="str">
        <x:v>Вопрос 15 из 25</x:v>
      </x:c>
      <x:c r="B202" s="38"/>
      <x:c r="C202" s="38"/>
      <x:c r="D202" s="38"/>
      <x:c r="E202" s="38"/>
      <x:c r="F202" s="38"/>
      <x:c r="G202" s="38"/>
      <x:c r="H202" s="38"/>
      <x:c r="Z202" s="203"/>
      <x:c r="AA202" s="203"/>
    </x:row>
    <x:row r="203" ht="30" customHeight="1">
      <x:c r="A203" s="56" t="str">
        <x:v>После выполнения каких мероприятий в состав бригады исполнителей газоопасных работ может вводиться новый работник?</x:v>
      </x:c>
      <x:c r="B203" s="57"/>
      <x:c r="C203" s="57"/>
      <x:c r="D203" s="57"/>
      <x:c r="E203" s="57"/>
      <x:c r="F203" s="57"/>
      <x:c r="G203" s="57"/>
      <x:c r="H203" s="58"/>
      <x:c r="Z203" s="203"/>
      <x:c r="AA203" s="203"/>
    </x:row>
    <x:row r="204" ht="30" customHeight="1">
      <x:c r="A204" s="59"/>
      <x:c r="B204" s="60"/>
      <x:c r="C204" s="60"/>
      <x:c r="D204" s="60"/>
      <x:c r="E204" s="60"/>
      <x:c r="F204" s="60"/>
      <x:c r="G204" s="60"/>
      <x:c r="H204" s="61"/>
      <x:c r="Z204" s="203"/>
      <x:c r="AA204" s="203"/>
    </x:row>
    <x:row r="205">
      <x:c r="Z205" s="203"/>
      <x:c r="AA205" s="203"/>
    </x:row>
    <x:row r="206" ht="52" customHeight="1">
      <x:c r="A206" s="86" t="str">
        <x:v>A</x:v>
      </x:c>
      <x:c r="B206" s="99" t="str">
        <x:v>После прохождения новым работником целевого инструктажа с соответствующим оформлением в наряде-допуске с указанием фактической даты и времени допуска к работам.</x:v>
      </x:c>
      <x:c r="C206" s="100"/>
      <x:c r="D206" s="100"/>
      <x:c r="E206" s="100"/>
      <x:c r="F206" s="100"/>
      <x:c r="G206" s="100"/>
      <x:c r="H206" s="101"/>
      <x:c r="Z206" s="203"/>
      <x:c r="AA206" s="203"/>
    </x:row>
    <x:row r="207" ht="28" customHeight="1">
      <x:c r="A207" s="86" t="str">
        <x:v>B</x:v>
      </x:c>
      <x:c r="B207" s="99" t="str">
        <x:v>После оформления нового наряда-допуска.</x:v>
      </x:c>
      <x:c r="C207" s="100"/>
      <x:c r="D207" s="100"/>
      <x:c r="E207" s="100"/>
      <x:c r="F207" s="100"/>
      <x:c r="G207" s="100"/>
      <x:c r="H207" s="101"/>
      <x:c r="Z207" s="203"/>
      <x:c r="AA207" s="203"/>
    </x:row>
    <x:row r="208" ht="40" customHeight="1">
      <x:c r="A208" s="86" t="str">
        <x:v>C</x:v>
      </x:c>
      <x:c r="B208" s="99" t="str">
        <x:v>После указания в наряде-допуске даты и времени допуска к работам нового работника.</x:v>
      </x:c>
      <x:c r="C208" s="100"/>
      <x:c r="D208" s="100"/>
      <x:c r="E208" s="100"/>
      <x:c r="F208" s="100"/>
      <x:c r="G208" s="100"/>
      <x:c r="H208" s="101"/>
      <x:c r="Z208" s="203"/>
      <x:c r="AA208" s="203"/>
    </x:row>
    <x:row r="209" ht="40" customHeight="1">
      <x:c r="A209" s="86" t="str">
        <x:v>D</x:v>
      </x:c>
      <x:c r="B209" s="99" t="str">
        <x:v>После прохождения новым работником медицинского осмотра и целевого инструктажа с соответствующим оформлением в наряде-допуске.</x:v>
      </x:c>
      <x:c r="C209" s="100"/>
      <x:c r="D209" s="100"/>
      <x:c r="E209" s="100"/>
      <x:c r="F209" s="100"/>
      <x:c r="G209" s="100"/>
      <x:c r="H209" s="101"/>
      <x:c r="Z209" s="203"/>
      <x:c r="AA209" s="203"/>
    </x:row>
    <x:row r="210">
      <x:c r="Z210" s="203"/>
      <x:c r="AA210" s="203"/>
    </x:row>
    <x:row r="211" ht="30" customHeight="1">
      <x:c r="A211" s="116" t="str">
        <x:v>Ваш ответ:</x:v>
      </x:c>
      <x:c r="B211" s="117"/>
      <x:c r="C211" s="132" t="str"/>
      <x:c r="D211" s="133"/>
      <x:c r="E211" s="133"/>
      <x:c r="F211" s="133"/>
      <x:c r="G211" s="133"/>
      <x:c r="H211" s="134"/>
      <x:c r="Z211" s="203" t="n">
        <x:f>IF(C211="",0,IF(C211="A",1,0))</x:f>
        <x:v>0</x:v>
      </x:c>
      <x:c r="AA211" s="203" t="n">
        <x:f>IF(C211="",0,1)</x:f>
        <x:v>0</x:v>
      </x:c>
    </x:row>
    <x:row r="212">
      <x:c r="Z212" s="203"/>
      <x:c r="AA212" s="203"/>
    </x:row>
    <x:row r="213" ht="30" customHeight="1">
      <x:c r="A213" s="341" t="str">
        <x:v>Комментарий:</x:v>
      </x:c>
      <x:c r="B213" s="342"/>
      <x:c r="C213" s="176" t="str">
        <x:f>IF(C211="","Выберите ответ.",IF(C211="A","Верно. Состав бригады соответствует ключу исходного теста.",IF(C211="B","Неверно. Состав бригады не соответствует требованию исходного теста. Правильный вариант: A.",IF(C211="C","Неверно. Состав бригады не соответствует требованию исходного теста. Правильный вариант: A.",IF(C211="D","Неверно. Состав бригады не соответствует требованию исходного теста. Правильный вариант: A.","Неверно. Ответ не распознан. Правильный вариант: A.")))))</x:f>
        <x:v>Выберите ответ.</x:v>
      </x:c>
      <x:c r="D213" s="177"/>
      <x:c r="E213" s="177"/>
      <x:c r="F213" s="177"/>
      <x:c r="G213" s="177"/>
      <x:c r="H213" s="178"/>
      <x:c r="Z213" s="203"/>
      <x:c r="AA213" s="203"/>
    </x:row>
    <x:row r="214" ht="30" customHeight="1">
      <x:c r="A214" s="308"/>
      <x:c r="B214" s="308"/>
      <x:c r="C214" s="179"/>
      <x:c r="D214" s="180"/>
      <x:c r="E214" s="180"/>
      <x:c r="F214" s="180"/>
      <x:c r="G214" s="180"/>
      <x:c r="H214" s="181"/>
      <x:c r="Z214" s="203"/>
      <x:c r="AA214" s="203"/>
    </x:row>
    <x:row r="215">
      <x:c r="Z215" s="203"/>
      <x:c r="AA215" s="203"/>
    </x:row>
    <x:row r="216" ht="24" customHeight="1">
      <x:c r="A216" s="38" t="str">
        <x:v>Вопрос 16 из 25</x:v>
      </x:c>
      <x:c r="B216" s="38"/>
      <x:c r="C216" s="38"/>
      <x:c r="D216" s="38"/>
      <x:c r="E216" s="38"/>
      <x:c r="F216" s="38"/>
      <x:c r="G216" s="38"/>
      <x:c r="H216" s="38"/>
      <x:c r="Z216" s="203"/>
      <x:c r="AA216" s="203"/>
    </x:row>
    <x:row r="217" ht="30" customHeight="1">
      <x:c r="A217" s="56" t="str">
        <x:v>Каким должен быть срок хранения «Журнала учета газоопасных работ, проводимых без оформления наряда-допуска»?</x:v>
      </x:c>
      <x:c r="B217" s="57"/>
      <x:c r="C217" s="57"/>
      <x:c r="D217" s="57"/>
      <x:c r="E217" s="57"/>
      <x:c r="F217" s="57"/>
      <x:c r="G217" s="57"/>
      <x:c r="H217" s="58"/>
      <x:c r="Z217" s="203"/>
      <x:c r="AA217" s="203"/>
    </x:row>
    <x:row r="218" ht="30" customHeight="1">
      <x:c r="A218" s="59"/>
      <x:c r="B218" s="60"/>
      <x:c r="C218" s="60"/>
      <x:c r="D218" s="60"/>
      <x:c r="E218" s="60"/>
      <x:c r="F218" s="60"/>
      <x:c r="G218" s="60"/>
      <x:c r="H218" s="61"/>
      <x:c r="Z218" s="203"/>
      <x:c r="AA218" s="203"/>
    </x:row>
    <x:row r="219">
      <x:c r="Z219" s="203"/>
      <x:c r="AA219" s="203"/>
    </x:row>
    <x:row r="220" ht="28" customHeight="1">
      <x:c r="A220" s="86" t="str">
        <x:v>A</x:v>
      </x:c>
      <x:c r="B220" s="99" t="str">
        <x:v>Не менее 2 месяцев со дня его окончания.</x:v>
      </x:c>
      <x:c r="C220" s="100"/>
      <x:c r="D220" s="100"/>
      <x:c r="E220" s="100"/>
      <x:c r="F220" s="100"/>
      <x:c r="G220" s="100"/>
      <x:c r="H220" s="101"/>
      <x:c r="Z220" s="203"/>
      <x:c r="AA220" s="203"/>
    </x:row>
    <x:row r="221" ht="28" customHeight="1">
      <x:c r="A221" s="86" t="str">
        <x:v>B</x:v>
      </x:c>
      <x:c r="B221" s="99" t="str">
        <x:v>Не менее 3 месяцев со дня его окончания.</x:v>
      </x:c>
      <x:c r="C221" s="100"/>
      <x:c r="D221" s="100"/>
      <x:c r="E221" s="100"/>
      <x:c r="F221" s="100"/>
      <x:c r="G221" s="100"/>
      <x:c r="H221" s="101"/>
      <x:c r="Z221" s="203"/>
      <x:c r="AA221" s="203"/>
    </x:row>
    <x:row r="222" ht="28" customHeight="1">
      <x:c r="A222" s="86" t="str">
        <x:v>C</x:v>
      </x:c>
      <x:c r="B222" s="99" t="str">
        <x:v>Не менее 6 месяцев со дня его окончания.</x:v>
      </x:c>
      <x:c r="C222" s="100"/>
      <x:c r="D222" s="100"/>
      <x:c r="E222" s="100"/>
      <x:c r="F222" s="100"/>
      <x:c r="G222" s="100"/>
      <x:c r="H222" s="101"/>
      <x:c r="Z222" s="203"/>
      <x:c r="AA222" s="203"/>
    </x:row>
    <x:row r="223" ht="28" customHeight="1">
      <x:c r="A223" s="86" t="str">
        <x:v>D</x:v>
      </x:c>
      <x:c r="B223" s="99" t="str">
        <x:v>Не менее 1 месяца со дня его окончания.</x:v>
      </x:c>
      <x:c r="C223" s="100"/>
      <x:c r="D223" s="100"/>
      <x:c r="E223" s="100"/>
      <x:c r="F223" s="100"/>
      <x:c r="G223" s="100"/>
      <x:c r="H223" s="101"/>
      <x:c r="Z223" s="203"/>
      <x:c r="AA223" s="203"/>
    </x:row>
    <x:row r="224">
      <x:c r="Z224" s="203"/>
      <x:c r="AA224" s="203"/>
    </x:row>
    <x:row r="225" ht="30" customHeight="1">
      <x:c r="A225" s="116" t="str">
        <x:v>Ваш ответ:</x:v>
      </x:c>
      <x:c r="B225" s="117"/>
      <x:c r="C225" s="132" t="str"/>
      <x:c r="D225" s="133"/>
      <x:c r="E225" s="133"/>
      <x:c r="F225" s="133"/>
      <x:c r="G225" s="133"/>
      <x:c r="H225" s="134"/>
      <x:c r="Z225" s="203" t="n">
        <x:f>IF(C225="",0,IF(C225="C",1,0))</x:f>
        <x:v>0</x:v>
      </x:c>
      <x:c r="AA225" s="203" t="n">
        <x:f>IF(C225="",0,1)</x:f>
        <x:v>0</x:v>
      </x:c>
    </x:row>
    <x:row r="226">
      <x:c r="Z226" s="203"/>
      <x:c r="AA226" s="203"/>
    </x:row>
    <x:row r="227" ht="30" customHeight="1">
      <x:c r="A227" s="341" t="str">
        <x:v>Комментарий:</x:v>
      </x:c>
      <x:c r="B227" s="342"/>
      <x:c r="C227" s="176" t="str">
        <x:f>IF(C225="","Выберите ответ.",IF(C225="A","Неверно. Этот вариант не соответствует ключу исходного теста. Правильный вариант: C.",IF(C225="B","Неверно. Этот вариант не соответствует ключу исходного теста. Правильный вариант: C.",IF(C225="C","Верно. Этот вариант соответствует ключу исходного теста.",IF(C225="D","Неверно.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227" s="177"/>
      <x:c r="E227" s="177"/>
      <x:c r="F227" s="177"/>
      <x:c r="G227" s="177"/>
      <x:c r="H227" s="178"/>
      <x:c r="Z227" s="203"/>
      <x:c r="AA227" s="203"/>
    </x:row>
    <x:row r="228" ht="30" customHeight="1">
      <x:c r="A228" s="308"/>
      <x:c r="B228" s="308"/>
      <x:c r="C228" s="179"/>
      <x:c r="D228" s="180"/>
      <x:c r="E228" s="180"/>
      <x:c r="F228" s="180"/>
      <x:c r="G228" s="180"/>
      <x:c r="H228" s="181"/>
      <x:c r="Z228" s="203"/>
      <x:c r="AA228" s="203"/>
    </x:row>
    <x:row r="229">
      <x:c r="Z229" s="203"/>
      <x:c r="AA229" s="203"/>
    </x:row>
    <x:row r="230" ht="24" customHeight="1">
      <x:c r="A230" s="38" t="str">
        <x:v>Вопрос 17 из 25</x:v>
      </x:c>
      <x:c r="B230" s="38"/>
      <x:c r="C230" s="38"/>
      <x:c r="D230" s="38"/>
      <x:c r="E230" s="38"/>
      <x:c r="F230" s="38"/>
      <x:c r="G230" s="38"/>
      <x:c r="H230" s="38"/>
      <x:c r="Z230" s="203"/>
      <x:c r="AA230" s="203"/>
    </x:row>
    <x:row r="231" ht="30" customHeight="1">
      <x:c r="A231" s="56" t="str">
        <x:v>На какие группы подразделяются плановые газоопасные работы в зависимости от степени опасности?</x:v>
      </x:c>
      <x:c r="B231" s="57"/>
      <x:c r="C231" s="57"/>
      <x:c r="D231" s="57"/>
      <x:c r="E231" s="57"/>
      <x:c r="F231" s="57"/>
      <x:c r="G231" s="57"/>
      <x:c r="H231" s="58"/>
      <x:c r="Z231" s="203"/>
      <x:c r="AA231" s="203"/>
    </x:row>
    <x:row r="232" ht="30" customHeight="1">
      <x:c r="A232" s="59"/>
      <x:c r="B232" s="60"/>
      <x:c r="C232" s="60"/>
      <x:c r="D232" s="60"/>
      <x:c r="E232" s="60"/>
      <x:c r="F232" s="60"/>
      <x:c r="G232" s="60"/>
      <x:c r="H232" s="61"/>
      <x:c r="Z232" s="203"/>
      <x:c r="AA232" s="203"/>
    </x:row>
    <x:row r="233">
      <x:c r="Z233" s="203"/>
      <x:c r="AA233" s="203"/>
    </x:row>
    <x:row r="234" ht="28" customHeight="1">
      <x:c r="A234" s="86" t="str">
        <x:v>A</x:v>
      </x:c>
      <x:c r="B234" s="99" t="str">
        <x:v>I – проводимые с оформлением наряда-допуска на проведение газоопасных работ.</x:v>
      </x:c>
      <x:c r="C234" s="100"/>
      <x:c r="D234" s="100"/>
      <x:c r="E234" s="100"/>
      <x:c r="F234" s="100"/>
      <x:c r="G234" s="100"/>
      <x:c r="H234" s="101"/>
      <x:c r="Z234" s="203"/>
      <x:c r="AA234" s="203"/>
    </x:row>
    <x:row r="235" ht="52" customHeight="1">
      <x:c r="A235" s="86" t="str">
        <x:v>B</x:v>
      </x:c>
      <x:c r="B235" s="99" t="str">
        <x:v>II – проводимые без оформления наряда-допуска на проведение газоопасных работ, но с обязательной регистрацией таких работ перед их началом в журнале учета газоопасных работ, проводимых без оформления наряда-допуска.</x:v>
      </x:c>
      <x:c r="C235" s="100"/>
      <x:c r="D235" s="100"/>
      <x:c r="E235" s="100"/>
      <x:c r="F235" s="100"/>
      <x:c r="G235" s="100"/>
      <x:c r="H235" s="101"/>
      <x:c r="Z235" s="203"/>
      <x:c r="AA235" s="203"/>
    </x:row>
    <x:row r="236" ht="28" customHeight="1">
      <x:c r="A236" s="86" t="str">
        <x:v>C</x:v>
      </x:c>
      <x:c r="B236" s="99" t="str">
        <x:v>III – сложные.</x:v>
      </x:c>
      <x:c r="C236" s="100"/>
      <x:c r="D236" s="100"/>
      <x:c r="E236" s="100"/>
      <x:c r="F236" s="100"/>
      <x:c r="G236" s="100"/>
      <x:c r="H236" s="101"/>
      <x:c r="Z236" s="203"/>
      <x:c r="AA236" s="203"/>
    </x:row>
    <x:row r="237" ht="28" customHeight="1">
      <x:c r="A237" s="86" t="str">
        <x:v>D</x:v>
      </x:c>
      <x:c r="B237" s="99" t="str">
        <x:v>IV – комплексные.</x:v>
      </x:c>
      <x:c r="C237" s="100"/>
      <x:c r="D237" s="100"/>
      <x:c r="E237" s="100"/>
      <x:c r="F237" s="100"/>
      <x:c r="G237" s="100"/>
      <x:c r="H237" s="101"/>
      <x:c r="Z237" s="203"/>
      <x:c r="AA237" s="203"/>
    </x:row>
    <x:row r="238">
      <x:c r="Z238" s="203"/>
      <x:c r="AA238" s="203"/>
    </x:row>
    <x:row r="239" ht="30" customHeight="1">
      <x:c r="A239" s="116" t="str">
        <x:v>Ваш ответ:</x:v>
      </x:c>
      <x:c r="B239" s="117"/>
      <x:c r="C239" s="132" t="str"/>
      <x:c r="D239" s="133"/>
      <x:c r="E239" s="133"/>
      <x:c r="F239" s="133"/>
      <x:c r="G239" s="133"/>
      <x:c r="H239" s="134"/>
      <x:c r="Z239" s="203" t="n">
        <x:f>IF(C239="",0,IF(C239="A,B",1,0))</x:f>
        <x:v>0</x:v>
      </x:c>
      <x:c r="AA239" s="203" t="n">
        <x:f>IF(C239="",0,1)</x:f>
        <x:v>0</x:v>
      </x:c>
    </x:row>
    <x:row r="240">
      <x:c r="Z240" s="203"/>
      <x:c r="AA240" s="203"/>
    </x:row>
    <x:row r="241" ht="30" customHeight="1">
      <x:c r="A241" s="341" t="str">
        <x:v>Комментарий:</x:v>
      </x:c>
      <x:c r="B241" s="342"/>
      <x:c r="C241" s="176" t="str">
        <x:f>IF(C239="","Выберите ответ.",IF(C239="A,B","Верно. В исходном тесте требуется именно эта комбинация пунктов: A,B.","Неверно. Комбинация неполная или содержит лишний пункт. По ключу теста правильная комбинация: A,B."))</x:f>
        <x:v>Выберите ответ.</x:v>
      </x:c>
      <x:c r="D241" s="177"/>
      <x:c r="E241" s="177"/>
      <x:c r="F241" s="177"/>
      <x:c r="G241" s="177"/>
      <x:c r="H241" s="178"/>
      <x:c r="Z241" s="203"/>
      <x:c r="AA241" s="203"/>
    </x:row>
    <x:row r="242" ht="30" customHeight="1">
      <x:c r="A242" s="308"/>
      <x:c r="B242" s="308"/>
      <x:c r="C242" s="179"/>
      <x:c r="D242" s="180"/>
      <x:c r="E242" s="180"/>
      <x:c r="F242" s="180"/>
      <x:c r="G242" s="180"/>
      <x:c r="H242" s="181"/>
      <x:c r="Z242" s="203"/>
      <x:c r="AA242" s="203"/>
    </x:row>
    <x:row r="243">
      <x:c r="Z243" s="203"/>
      <x:c r="AA243" s="203"/>
    </x:row>
    <x:row r="244" ht="24" customHeight="1">
      <x:c r="A244" s="38" t="str">
        <x:v>Вопрос 18 из 25</x:v>
      </x:c>
      <x:c r="B244" s="38"/>
      <x:c r="C244" s="38"/>
      <x:c r="D244" s="38"/>
      <x:c r="E244" s="38"/>
      <x:c r="F244" s="38"/>
      <x:c r="G244" s="38"/>
      <x:c r="H244" s="38"/>
      <x:c r="Z244" s="203"/>
      <x:c r="AA244" s="203"/>
    </x:row>
    <x:row r="245" ht="30" customHeight="1">
      <x:c r="A245" s="56" t="str">
        <x:v>Для подготовки объектов, какие меры должны быть приняты по уменьшению степени опасности газоопасной работ?</x:v>
      </x:c>
      <x:c r="B245" s="57"/>
      <x:c r="C245" s="57"/>
      <x:c r="D245" s="57"/>
      <x:c r="E245" s="57"/>
      <x:c r="F245" s="57"/>
      <x:c r="G245" s="57"/>
      <x:c r="H245" s="58"/>
      <x:c r="Z245" s="203"/>
      <x:c r="AA245" s="203"/>
    </x:row>
    <x:row r="246" ht="30" customHeight="1">
      <x:c r="A246" s="59"/>
      <x:c r="B246" s="60"/>
      <x:c r="C246" s="60"/>
      <x:c r="D246" s="60"/>
      <x:c r="E246" s="60"/>
      <x:c r="F246" s="60"/>
      <x:c r="G246" s="60"/>
      <x:c r="H246" s="61"/>
      <x:c r="Z246" s="203"/>
      <x:c r="AA246" s="203"/>
    </x:row>
    <x:row r="247">
      <x:c r="Z247" s="203"/>
      <x:c r="AA247" s="203"/>
    </x:row>
    <x:row r="248" ht="78" customHeight="1">
      <x:c r="A248" s="86" t="str">
        <x:v>A</x:v>
      </x:c>
      <x:c r="B248" s="99" t="str">
        <x:v>Снять давление на участке производства работ, привести управление запорной арматурой на технологических трубопроводах и оборудовании в состояние, не допускающее самопроизвольную или ошибочную перестановку этой арматуры (посредством снятия ручных штурвалов или механически их заблокировать при помощи блокировочных устройств), для исключения поступления из основных и смежных технологических систем вредных и взрывоопасных продуктов.</x:v>
      </x:c>
      <x:c r="C248" s="100"/>
      <x:c r="D248" s="100"/>
      <x:c r="E248" s="100"/>
      <x:c r="F248" s="100"/>
      <x:c r="G248" s="100"/>
      <x:c r="H248" s="101"/>
      <x:c r="Z248" s="203"/>
      <x:c r="AA248" s="203"/>
    </x:row>
    <x:row r="249" ht="78" customHeight="1">
      <x:c r="A249" s="86" t="str">
        <x:v>B</x:v>
      </x:c>
      <x:c r="B249" s="99" t="str">
        <x:v>Установить инвентарные стальные заглушки, располагаемые между фланцами трубопроводов, на пневмогидроприводных кранах - стравить импульсный газ, снять шланги (импульсные трубки) с пневмогидроприводов и убрать их, а штуцеры заглушить, убрать чеки (штыри) кранов, служащие для их перевода с автоматического управления на ручное.</x:v>
      </x:c>
      <x:c r="C249" s="100"/>
      <x:c r="D249" s="100"/>
      <x:c r="E249" s="100"/>
      <x:c r="F249" s="100"/>
      <x:c r="G249" s="100"/>
      <x:c r="H249" s="101"/>
      <x:c r="Z249" s="203"/>
      <x:c r="AA249" s="203"/>
    </x:row>
    <x:row r="250" ht="40" customHeight="1">
      <x:c r="A250" s="86" t="str">
        <x:v>C</x:v>
      </x:c>
      <x:c r="B250" s="99" t="str">
        <x:v>Вывесить соответствующие знаки безопасности и плакаты «Не открывать», «Не закрывать» (где это необходимо), «Газоопасные работы».</x:v>
      </x:c>
      <x:c r="C250" s="100"/>
      <x:c r="D250" s="100"/>
      <x:c r="E250" s="100"/>
      <x:c r="F250" s="100"/>
      <x:c r="G250" s="100"/>
      <x:c r="H250" s="101"/>
      <x:c r="Z250" s="203"/>
      <x:c r="AA250" s="203"/>
    </x:row>
    <x:row r="251" ht="40" customHeight="1">
      <x:c r="A251" s="86" t="str">
        <x:v>D</x:v>
      </x:c>
      <x:c r="B251" s="99" t="str">
        <x:v>Устранить утечки вредных и взрывоопасных продуктов, удалить вредные и взрывоопасные продукты из рабочей зоны.</x:v>
      </x:c>
      <x:c r="C251" s="100"/>
      <x:c r="D251" s="100"/>
      <x:c r="E251" s="100"/>
      <x:c r="F251" s="100"/>
      <x:c r="G251" s="100"/>
      <x:c r="H251" s="101"/>
      <x:c r="Z251" s="203"/>
      <x:c r="AA251" s="203"/>
    </x:row>
    <x:row r="252">
      <x:c r="Z252" s="203"/>
      <x:c r="AA252" s="203"/>
    </x:row>
    <x:row r="253" ht="30" customHeight="1">
      <x:c r="A253" s="116" t="str">
        <x:v>Ваш ответ:</x:v>
      </x:c>
      <x:c r="B253" s="117"/>
      <x:c r="C253" s="132" t="str"/>
      <x:c r="D253" s="133"/>
      <x:c r="E253" s="133"/>
      <x:c r="F253" s="133"/>
      <x:c r="G253" s="133"/>
      <x:c r="H253" s="134"/>
      <x:c r="Z253" s="203" t="n">
        <x:f>IF(C253="",0,IF(C253="A,B,C,D",1,0))</x:f>
        <x:v>0</x:v>
      </x:c>
      <x:c r="AA253" s="203" t="n">
        <x:f>IF(C253="",0,1)</x:f>
        <x:v>0</x:v>
      </x:c>
    </x:row>
    <x:row r="254">
      <x:c r="Z254" s="203"/>
      <x:c r="AA254" s="203"/>
    </x:row>
    <x:row r="255" ht="30" customHeight="1">
      <x:c r="A255" s="341" t="str">
        <x:v>Комментарий:</x:v>
      </x:c>
      <x:c r="B255" s="342"/>
      <x:c r="C255" s="176" t="str">
        <x:f>IF(C253="","Выберите ответ.",IF(C253="A,B,C,D","Верно. В исходном тесте требуется именно эта комбинация пунктов: A,B,C,D.","Неверно. Комбинация неполная или содержит лишний пункт. По ключу теста правильная комбинация: A,B,C,D."))</x:f>
        <x:v>Выберите ответ.</x:v>
      </x:c>
      <x:c r="D255" s="177"/>
      <x:c r="E255" s="177"/>
      <x:c r="F255" s="177"/>
      <x:c r="G255" s="177"/>
      <x:c r="H255" s="178"/>
      <x:c r="Z255" s="203"/>
      <x:c r="AA255" s="203"/>
    </x:row>
    <x:row r="256" ht="30" customHeight="1">
      <x:c r="A256" s="308"/>
      <x:c r="B256" s="308"/>
      <x:c r="C256" s="179"/>
      <x:c r="D256" s="180"/>
      <x:c r="E256" s="180"/>
      <x:c r="F256" s="180"/>
      <x:c r="G256" s="180"/>
      <x:c r="H256" s="181"/>
      <x:c r="Z256" s="203"/>
      <x:c r="AA256" s="203"/>
    </x:row>
    <x:row r="257">
      <x:c r="Z257" s="203"/>
      <x:c r="AA257" s="203"/>
    </x:row>
    <x:row r="258" ht="24" customHeight="1">
      <x:c r="A258" s="38" t="str">
        <x:v>Вопрос 19 из 25</x:v>
      </x:c>
      <x:c r="B258" s="38"/>
      <x:c r="C258" s="38"/>
      <x:c r="D258" s="38"/>
      <x:c r="E258" s="38"/>
      <x:c r="F258" s="38"/>
      <x:c r="G258" s="38"/>
      <x:c r="H258" s="38"/>
      <x:c r="Z258" s="203"/>
      <x:c r="AA258" s="203"/>
    </x:row>
    <x:row r="259" ht="30" customHeight="1">
      <x:c r="A259" s="56" t="str">
        <x:v>Каким образом допускается отключение газового оборудования без установки заглушек?</x:v>
      </x:c>
      <x:c r="B259" s="57"/>
      <x:c r="C259" s="57"/>
      <x:c r="D259" s="57"/>
      <x:c r="E259" s="57"/>
      <x:c r="F259" s="57"/>
      <x:c r="G259" s="57"/>
      <x:c r="H259" s="58"/>
      <x:c r="Z259" s="203"/>
      <x:c r="AA259" s="203"/>
    </x:row>
    <x:row r="260" ht="30" customHeight="1">
      <x:c r="A260" s="59"/>
      <x:c r="B260" s="60"/>
      <x:c r="C260" s="60"/>
      <x:c r="D260" s="60"/>
      <x:c r="E260" s="60"/>
      <x:c r="F260" s="60"/>
      <x:c r="G260" s="60"/>
      <x:c r="H260" s="61"/>
      <x:c r="Z260" s="203"/>
      <x:c r="AA260" s="203"/>
    </x:row>
    <x:row r="261">
      <x:c r="Z261" s="203"/>
      <x:c r="AA261" s="203"/>
    </x:row>
    <x:row r="262" ht="40" customHeight="1">
      <x:c r="A262" s="86" t="str">
        <x:v>A</x:v>
      </x:c>
      <x:c r="B262" s="99" t="str">
        <x:v>Отключение газового оборудования без установки заглушек не допускается ни при каких условиях.</x:v>
      </x:c>
      <x:c r="C262" s="100"/>
      <x:c r="D262" s="100"/>
      <x:c r="E262" s="100"/>
      <x:c r="F262" s="100"/>
      <x:c r="G262" s="100"/>
      <x:c r="H262" s="101"/>
      <x:c r="Z262" s="203"/>
      <x:c r="AA262" s="203"/>
    </x:row>
    <x:row r="263" ht="52" customHeight="1">
      <x:c r="A263" s="86" t="str">
        <x:v>B</x:v>
      </x:c>
      <x:c r="B263" s="99" t="str">
        <x:v>Путем закрытия двух последовательно установленных запорных кранов (задвижек) при условии наличия свечи между ними и обеспечения надежного отключения приводов запорной арматуры.</x:v>
      </x:c>
      <x:c r="C263" s="100"/>
      <x:c r="D263" s="100"/>
      <x:c r="E263" s="100"/>
      <x:c r="F263" s="100"/>
      <x:c r="G263" s="100"/>
      <x:c r="H263" s="101"/>
      <x:c r="Z263" s="203"/>
      <x:c r="AA263" s="203"/>
    </x:row>
    <x:row r="264" ht="66" customHeight="1">
      <x:c r="A264" s="86" t="str">
        <x:v>C</x:v>
      </x:c>
      <x:c r="B264" s="99" t="str">
        <x:v>Путем закрытия двух последовательно установленных запорных кранов (задвижек) при условии наличия манометра между ними для постоянного контроля давления на участке между кранами (задвижками) и обеспечения надежного отключения приводов запорной арматуры.</x:v>
      </x:c>
      <x:c r="C264" s="100"/>
      <x:c r="D264" s="100"/>
      <x:c r="E264" s="100"/>
      <x:c r="F264" s="100"/>
      <x:c r="G264" s="100"/>
      <x:c r="H264" s="101"/>
      <x:c r="Z264" s="203"/>
      <x:c r="AA264" s="203"/>
    </x:row>
    <x:row r="265" ht="28" customHeight="1">
      <x:c r="A265" s="86" t="str">
        <x:v>D</x:v>
      </x:c>
      <x:c r="B265" s="99" t="str">
        <x:v>Перечисленное в п.п. 2 или 3.</x:v>
      </x:c>
      <x:c r="C265" s="100"/>
      <x:c r="D265" s="100"/>
      <x:c r="E265" s="100"/>
      <x:c r="F265" s="100"/>
      <x:c r="G265" s="100"/>
      <x:c r="H265" s="101"/>
      <x:c r="Z265" s="203"/>
      <x:c r="AA265" s="203"/>
    </x:row>
    <x:row r="266">
      <x:c r="Z266" s="203"/>
      <x:c r="AA266" s="203"/>
    </x:row>
    <x:row r="267" ht="30" customHeight="1">
      <x:c r="A267" s="116" t="str">
        <x:v>Ваш ответ:</x:v>
      </x:c>
      <x:c r="B267" s="117"/>
      <x:c r="C267" s="132" t="str"/>
      <x:c r="D267" s="133"/>
      <x:c r="E267" s="133"/>
      <x:c r="F267" s="133"/>
      <x:c r="G267" s="133"/>
      <x:c r="H267" s="134"/>
      <x:c r="Z267" s="203" t="n">
        <x:f>IF(C267="",0,IF(C267="B",1,0))</x:f>
        <x:v>0</x:v>
      </x:c>
      <x:c r="AA267" s="203" t="n">
        <x:f>IF(C267="",0,1)</x:f>
        <x:v>0</x:v>
      </x:c>
    </x:row>
    <x:row r="268">
      <x:c r="Z268" s="203"/>
      <x:c r="AA268" s="203"/>
    </x:row>
    <x:row r="269" ht="30" customHeight="1">
      <x:c r="A269" s="341" t="str">
        <x:v>Комментарий:</x:v>
      </x:c>
      <x:c r="B269" s="342"/>
      <x:c r="C269" s="176" t="str">
        <x:f>IF(C267="","Выберите ответ.",IF(C267="A","Неверно. Условие допуска сформулировано не так, как в исходном тесте. Правильный вариант: B.",IF(C267="B","Верно. Условие допуска сформулировано так, как принято в исходном тесте.",IF(C267="C","Неверно. Условие допуска сформулировано не так, как в исходном тесте. Правильный вариант: B.",IF(C267="D","Неверно. Условие допуска сформулировано не так, как в исходном тесте. Правильный вариант: B.","Неверно. Ответ не распознан. Правильный вариант: B.")))))</x:f>
        <x:v>Выберите ответ.</x:v>
      </x:c>
      <x:c r="D269" s="177"/>
      <x:c r="E269" s="177"/>
      <x:c r="F269" s="177"/>
      <x:c r="G269" s="177"/>
      <x:c r="H269" s="178"/>
      <x:c r="Z269" s="203"/>
      <x:c r="AA269" s="203"/>
    </x:row>
    <x:row r="270" ht="30" customHeight="1">
      <x:c r="A270" s="308"/>
      <x:c r="B270" s="308"/>
      <x:c r="C270" s="179"/>
      <x:c r="D270" s="180"/>
      <x:c r="E270" s="180"/>
      <x:c r="F270" s="180"/>
      <x:c r="G270" s="180"/>
      <x:c r="H270" s="181"/>
      <x:c r="Z270" s="203"/>
      <x:c r="AA270" s="203"/>
    </x:row>
    <x:row r="271">
      <x:c r="Z271" s="203"/>
      <x:c r="AA271" s="203"/>
    </x:row>
    <x:row r="272" ht="24" customHeight="1">
      <x:c r="A272" s="38" t="str">
        <x:v>Вопрос 20 из 25</x:v>
      </x:c>
      <x:c r="B272" s="38"/>
      <x:c r="C272" s="38"/>
      <x:c r="D272" s="38"/>
      <x:c r="E272" s="38"/>
      <x:c r="F272" s="38"/>
      <x:c r="G272" s="38"/>
      <x:c r="H272" s="38"/>
      <x:c r="Z272" s="203"/>
      <x:c r="AA272" s="203"/>
    </x:row>
    <x:row r="273" ht="30" customHeight="1">
      <x:c r="A273" s="56" t="str">
        <x:v>Какие факторы необходимо учитывать при отборе проб воздуха?</x:v>
      </x:c>
      <x:c r="B273" s="57"/>
      <x:c r="C273" s="57"/>
      <x:c r="D273" s="57"/>
      <x:c r="E273" s="57"/>
      <x:c r="F273" s="57"/>
      <x:c r="G273" s="57"/>
      <x:c r="H273" s="58"/>
      <x:c r="Z273" s="203"/>
      <x:c r="AA273" s="203"/>
    </x:row>
    <x:row r="274" ht="30" customHeight="1">
      <x:c r="A274" s="59"/>
      <x:c r="B274" s="60"/>
      <x:c r="C274" s="60"/>
      <x:c r="D274" s="60"/>
      <x:c r="E274" s="60"/>
      <x:c r="F274" s="60"/>
      <x:c r="G274" s="60"/>
      <x:c r="H274" s="61"/>
      <x:c r="Z274" s="203"/>
      <x:c r="AA274" s="203"/>
    </x:row>
    <x:row r="275">
      <x:c r="Z275" s="203"/>
      <x:c r="AA275" s="203"/>
    </x:row>
    <x:row r="276" ht="40" customHeight="1">
      <x:c r="A276" s="86" t="str">
        <x:v>A</x:v>
      </x:c>
      <x:c r="B276" s="99" t="str">
        <x:v>Направление потока воздуха в помещениях и направление ветра на открытых площадках.</x:v>
      </x:c>
      <x:c r="C276" s="100"/>
      <x:c r="D276" s="100"/>
      <x:c r="E276" s="100"/>
      <x:c r="F276" s="100"/>
      <x:c r="G276" s="100"/>
      <x:c r="H276" s="101"/>
      <x:c r="Z276" s="203"/>
      <x:c r="AA276" s="203"/>
    </x:row>
    <x:row r="277" ht="28" customHeight="1">
      <x:c r="A277" s="86" t="str">
        <x:v>B</x:v>
      </x:c>
      <x:c r="B277" s="99" t="str">
        <x:v>Температура окружающего воздуха и отбираемой пробы.</x:v>
      </x:c>
      <x:c r="C277" s="100"/>
      <x:c r="D277" s="100"/>
      <x:c r="E277" s="100"/>
      <x:c r="F277" s="100"/>
      <x:c r="G277" s="100"/>
      <x:c r="H277" s="101"/>
      <x:c r="Z277" s="203"/>
      <x:c r="AA277" s="203"/>
    </x:row>
    <x:row r="278" ht="28" customHeight="1">
      <x:c r="A278" s="86" t="str">
        <x:v>C</x:v>
      </x:c>
      <x:c r="B278" s="99" t="str">
        <x:v>Конструктивные особенности оборудования.</x:v>
      </x:c>
      <x:c r="C278" s="100"/>
      <x:c r="D278" s="100"/>
      <x:c r="E278" s="100"/>
      <x:c r="F278" s="100"/>
      <x:c r="G278" s="100"/>
      <x:c r="H278" s="101"/>
      <x:c r="Z278" s="203"/>
      <x:c r="AA278" s="203"/>
    </x:row>
    <x:row r="279" ht="28" customHeight="1">
      <x:c r="A279" s="86" t="str">
        <x:v>D</x:v>
      </x:c>
      <x:c r="B279" s="99" t="str">
        <x:v>Рельеф местности вблизи открытой площадки, ее застройку.</x:v>
      </x:c>
      <x:c r="C279" s="100"/>
      <x:c r="D279" s="100"/>
      <x:c r="E279" s="100"/>
      <x:c r="F279" s="100"/>
      <x:c r="G279" s="100"/>
      <x:c r="H279" s="101"/>
      <x:c r="Z279" s="203"/>
      <x:c r="AA279" s="203"/>
    </x:row>
    <x:row r="280" ht="28" customHeight="1">
      <x:c r="A280" s="86" t="str">
        <x:v>E</x:v>
      </x:c>
      <x:c r="B280" s="99" t="str">
        <x:v>Все перечисленные в п.п. 1-4.</x:v>
      </x:c>
      <x:c r="C280" s="100"/>
      <x:c r="D280" s="100"/>
      <x:c r="E280" s="100"/>
      <x:c r="F280" s="100"/>
      <x:c r="G280" s="100"/>
      <x:c r="H280" s="101"/>
      <x:c r="Z280" s="203"/>
      <x:c r="AA280" s="203"/>
    </x:row>
    <x:row r="281">
      <x:c r="Z281" s="203"/>
      <x:c r="AA281" s="203"/>
    </x:row>
    <x:row r="282" ht="30" customHeight="1">
      <x:c r="A282" s="116" t="str">
        <x:v>Ваш ответ:</x:v>
      </x:c>
      <x:c r="B282" s="117"/>
      <x:c r="C282" s="132" t="str"/>
      <x:c r="D282" s="133"/>
      <x:c r="E282" s="133"/>
      <x:c r="F282" s="133"/>
      <x:c r="G282" s="133"/>
      <x:c r="H282" s="134"/>
      <x:c r="Z282" s="203" t="n">
        <x:f>IF(C282="",0,IF(C282="E",1,0))</x:f>
        <x:v>0</x:v>
      </x:c>
      <x:c r="AA282" s="203" t="n">
        <x:f>IF(C282="",0,1)</x:f>
        <x:v>0</x:v>
      </x:c>
    </x:row>
    <x:row r="283">
      <x:c r="Z283" s="203"/>
      <x:c r="AA283" s="203"/>
    </x:row>
    <x:row r="284" ht="30" customHeight="1">
      <x:c r="A284" s="341" t="str">
        <x:v>Комментарий:</x:v>
      </x:c>
      <x:c r="B284" s="342"/>
      <x:c r="C284" s="176" t="str">
        <x:f>IF(C282="","Выберите ответ.",IF(C282="A","Неверно. Этот вариант не соответствует ключу исходного теста. Правильный вариант: E.",IF(C282="B","Неверно. Этот вариант не соответствует ключу исходного теста. Правильный вариант: E.",IF(C282="C","Неверно. Этот вариант не соответствует ключу исходного теста. Правильный вариант: E.",IF(C282="D","Неверно. Этот вариант не соответствует ключу исходного теста. Правильный вариант: E.",IF(C282="E","Верно. Этот вариант соответствует ключу исходного теста.","Неверно. Ответ не распознан. Правильный вариант: E."))))))</x:f>
        <x:v>Выберите ответ.</x:v>
      </x:c>
      <x:c r="D284" s="177"/>
      <x:c r="E284" s="177"/>
      <x:c r="F284" s="177"/>
      <x:c r="G284" s="177"/>
      <x:c r="H284" s="178"/>
      <x:c r="Z284" s="203"/>
      <x:c r="AA284" s="203"/>
    </x:row>
    <x:row r="285" ht="30" customHeight="1">
      <x:c r="A285" s="308"/>
      <x:c r="B285" s="308"/>
      <x:c r="C285" s="179"/>
      <x:c r="D285" s="180"/>
      <x:c r="E285" s="180"/>
      <x:c r="F285" s="180"/>
      <x:c r="G285" s="180"/>
      <x:c r="H285" s="181"/>
      <x:c r="Z285" s="203"/>
      <x:c r="AA285" s="203"/>
    </x:row>
    <x:row r="286">
      <x:c r="Z286" s="203"/>
      <x:c r="AA286" s="203"/>
    </x:row>
    <x:row r="287" ht="24" customHeight="1">
      <x:c r="A287" s="38" t="str">
        <x:v>Вопрос 21 из 25</x:v>
      </x:c>
      <x:c r="B287" s="38"/>
      <x:c r="C287" s="38"/>
      <x:c r="D287" s="38"/>
      <x:c r="E287" s="38"/>
      <x:c r="F287" s="38"/>
      <x:c r="G287" s="38"/>
      <x:c r="H287" s="38"/>
      <x:c r="Z287" s="203"/>
      <x:c r="AA287" s="203"/>
    </x:row>
    <x:row r="288" ht="30" customHeight="1">
      <x:c r="A288" s="56" t="str">
        <x:v>Кто назначается ответственным за проведение газоопасной работы?</x:v>
      </x:c>
      <x:c r="B288" s="57"/>
      <x:c r="C288" s="57"/>
      <x:c r="D288" s="57"/>
      <x:c r="E288" s="57"/>
      <x:c r="F288" s="57"/>
      <x:c r="G288" s="57"/>
      <x:c r="H288" s="58"/>
      <x:c r="Z288" s="203"/>
      <x:c r="AA288" s="203"/>
    </x:row>
    <x:row r="289" ht="30" customHeight="1">
      <x:c r="A289" s="59"/>
      <x:c r="B289" s="60"/>
      <x:c r="C289" s="60"/>
      <x:c r="D289" s="60"/>
      <x:c r="E289" s="60"/>
      <x:c r="F289" s="60"/>
      <x:c r="G289" s="60"/>
      <x:c r="H289" s="61"/>
      <x:c r="Z289" s="203"/>
      <x:c r="AA289" s="203"/>
    </x:row>
    <x:row r="290">
      <x:c r="Z290" s="203"/>
      <x:c r="AA290" s="203"/>
    </x:row>
    <x:row r="291" ht="40" customHeight="1">
      <x:c r="A291" s="86" t="str">
        <x:v>A</x:v>
      </x:c>
      <x:c r="B291" s="99" t="str">
        <x:v>Специалист структурного подразделения, в ведении которого находится эксплуатационный персонал данного объекта.</x:v>
      </x:c>
      <x:c r="C291" s="100"/>
      <x:c r="D291" s="100"/>
      <x:c r="E291" s="100"/>
      <x:c r="F291" s="100"/>
      <x:c r="G291" s="100"/>
      <x:c r="H291" s="101"/>
      <x:c r="Z291" s="203"/>
      <x:c r="AA291" s="203"/>
    </x:row>
    <x:row r="292" ht="52" customHeight="1">
      <x:c r="A292" s="86" t="str">
        <x:v>B</x:v>
      </x:c>
      <x:c r="B292" s="99" t="str">
        <x:v>Специалист или руководитель структурного подразделения, не занятый на период проведения такой работы ведением технологического процесса и знающий способы безопасного проведения газоопасных работ.</x:v>
      </x:c>
      <x:c r="C292" s="100"/>
      <x:c r="D292" s="100"/>
      <x:c r="E292" s="100"/>
      <x:c r="F292" s="100"/>
      <x:c r="G292" s="100"/>
      <x:c r="H292" s="101"/>
      <x:c r="Z292" s="203"/>
      <x:c r="AA292" s="203"/>
    </x:row>
    <x:row r="293" ht="28" customHeight="1">
      <x:c r="A293" s="86" t="str">
        <x:v>C</x:v>
      </x:c>
      <x:c r="B293" s="99" t="str">
        <x:v>Руководитель подразделения.</x:v>
      </x:c>
      <x:c r="C293" s="100"/>
      <x:c r="D293" s="100"/>
      <x:c r="E293" s="100"/>
      <x:c r="F293" s="100"/>
      <x:c r="G293" s="100"/>
      <x:c r="H293" s="101"/>
      <x:c r="Z293" s="203"/>
      <x:c r="AA293" s="203"/>
    </x:row>
    <x:row r="294" ht="28" customHeight="1">
      <x:c r="A294" s="86" t="str">
        <x:v>D</x:v>
      </x:c>
      <x:c r="B294" s="99" t="str">
        <x:v>Лицо, назначенное руководителем подразделения.</x:v>
      </x:c>
      <x:c r="C294" s="100"/>
      <x:c r="D294" s="100"/>
      <x:c r="E294" s="100"/>
      <x:c r="F294" s="100"/>
      <x:c r="G294" s="100"/>
      <x:c r="H294" s="101"/>
      <x:c r="Z294" s="203"/>
      <x:c r="AA294" s="203"/>
    </x:row>
    <x:row r="295" ht="40" customHeight="1">
      <x:c r="A295" s="86" t="str">
        <x:v>E</x:v>
      </x:c>
      <x:c r="B295" s="99" t="str">
        <x:v>Лицо, ответственное за безопасное ведение технологического процесса на данном объекте.</x:v>
      </x:c>
      <x:c r="C295" s="100"/>
      <x:c r="D295" s="100"/>
      <x:c r="E295" s="100"/>
      <x:c r="F295" s="100"/>
      <x:c r="G295" s="100"/>
      <x:c r="H295" s="101"/>
      <x:c r="Z295" s="203"/>
      <x:c r="AA295" s="203"/>
    </x:row>
    <x:row r="296">
      <x:c r="Z296" s="203"/>
      <x:c r="AA296" s="203"/>
    </x:row>
    <x:row r="297" ht="30" customHeight="1">
      <x:c r="A297" s="116" t="str">
        <x:v>Ваш ответ:</x:v>
      </x:c>
      <x:c r="B297" s="117"/>
      <x:c r="C297" s="132" t="str"/>
      <x:c r="D297" s="133"/>
      <x:c r="E297" s="133"/>
      <x:c r="F297" s="133"/>
      <x:c r="G297" s="133"/>
      <x:c r="H297" s="134"/>
      <x:c r="Z297" s="203" t="n">
        <x:f>IF(C297="",0,IF(C297="B",1,0))</x:f>
        <x:v>0</x:v>
      </x:c>
      <x:c r="AA297" s="203" t="n">
        <x:f>IF(C297="",0,1)</x:f>
        <x:v>0</x:v>
      </x:c>
    </x:row>
    <x:row r="298">
      <x:c r="Z298" s="203"/>
      <x:c r="AA298" s="203"/>
    </x:row>
    <x:row r="299" ht="30" customHeight="1">
      <x:c r="A299" s="341" t="str">
        <x:v>Комментарий:</x:v>
      </x:c>
      <x:c r="B299" s="342"/>
      <x:c r="C299" s="176" t="str">
        <x:f>IF(C297="","Выберите ответ.",IF(C297="A","Неверно. Полномочие отнесено к другому ответственному лицу. Правильный вариант: B.",IF(C297="B","Верно. По ключу теста это действие относится к указанному ответственному лицу.",IF(C297="C","Неверно. Полномочие отнесено к другому ответственному лицу. Правильный вариант: B.",IF(C297="D","Неверно. Полномочие отнесено к другому ответственному лицу. Правильный вариант: B.",IF(C297="E","Неверно. Полномочие отнесено к другому ответственному лицу. Правильный вариант: B.","Неверно. Ответ не распознан. Правильный вариант: B."))))))</x:f>
        <x:v>Выберите ответ.</x:v>
      </x:c>
      <x:c r="D299" s="177"/>
      <x:c r="E299" s="177"/>
      <x:c r="F299" s="177"/>
      <x:c r="G299" s="177"/>
      <x:c r="H299" s="178"/>
      <x:c r="Z299" s="203"/>
      <x:c r="AA299" s="203"/>
    </x:row>
    <x:row r="300" ht="30" customHeight="1">
      <x:c r="A300" s="308"/>
      <x:c r="B300" s="308"/>
      <x:c r="C300" s="179"/>
      <x:c r="D300" s="180"/>
      <x:c r="E300" s="180"/>
      <x:c r="F300" s="180"/>
      <x:c r="G300" s="180"/>
      <x:c r="H300" s="181"/>
      <x:c r="Z300" s="203"/>
      <x:c r="AA300" s="203"/>
    </x:row>
    <x:row r="301">
      <x:c r="Z301" s="203"/>
      <x:c r="AA301" s="203"/>
    </x:row>
    <x:row r="302" ht="24" customHeight="1">
      <x:c r="A302" s="38" t="str">
        <x:v>Вопрос 22 из 25</x:v>
      </x:c>
      <x:c r="B302" s="38"/>
      <x:c r="C302" s="38"/>
      <x:c r="D302" s="38"/>
      <x:c r="E302" s="38"/>
      <x:c r="F302" s="38"/>
      <x:c r="G302" s="38"/>
      <x:c r="H302" s="38"/>
      <x:c r="Z302" s="203"/>
      <x:c r="AA302" s="203"/>
    </x:row>
    <x:row r="303" ht="30" customHeight="1">
      <x:c r="A303" s="56" t="str">
        <x:v>Какие дополнительные мероприятия должны быть включены в наряд-допуск при выполнении работ в ночную смену?</x:v>
      </x:c>
      <x:c r="B303" s="57"/>
      <x:c r="C303" s="57"/>
      <x:c r="D303" s="57"/>
      <x:c r="E303" s="57"/>
      <x:c r="F303" s="57"/>
      <x:c r="G303" s="57"/>
      <x:c r="H303" s="58"/>
      <x:c r="Z303" s="203"/>
      <x:c r="AA303" s="203"/>
    </x:row>
    <x:row r="304" ht="30" customHeight="1">
      <x:c r="A304" s="59"/>
      <x:c r="B304" s="60"/>
      <x:c r="C304" s="60"/>
      <x:c r="D304" s="60"/>
      <x:c r="E304" s="60"/>
      <x:c r="F304" s="60"/>
      <x:c r="G304" s="60"/>
      <x:c r="H304" s="61"/>
      <x:c r="Z304" s="203"/>
      <x:c r="AA304" s="203"/>
    </x:row>
    <x:row r="305">
      <x:c r="Z305" s="203"/>
      <x:c r="AA305" s="203"/>
    </x:row>
    <x:row r="306" ht="40" customHeight="1">
      <x:c r="A306" s="86" t="str">
        <x:v>A</x:v>
      </x:c>
      <x:c r="B306" s="99" t="str">
        <x:v>Информирование (с записью в журнале телефонограмм или другой оперативной документации) ПАСС.</x:v>
      </x:c>
      <x:c r="C306" s="100"/>
      <x:c r="D306" s="100"/>
      <x:c r="E306" s="100"/>
      <x:c r="F306" s="100"/>
      <x:c r="G306" s="100"/>
      <x:c r="H306" s="101"/>
      <x:c r="Z306" s="203"/>
      <x:c r="AA306" s="203"/>
    </x:row>
    <x:row r="307" ht="52" customHeight="1">
      <x:c r="A307" s="86" t="str">
        <x:v>B</x:v>
      </x:c>
      <x:c r="B307" s="99" t="str">
        <x:v>Обеспечение достаточного освещения рабочего места (зоны проведения работ), наличие основного и аварийного освещения, установка дополнительного осветительного оборудования (при необходимости).</x:v>
      </x:c>
      <x:c r="C307" s="100"/>
      <x:c r="D307" s="100"/>
      <x:c r="E307" s="100"/>
      <x:c r="F307" s="100"/>
      <x:c r="G307" s="100"/>
      <x:c r="H307" s="101"/>
      <x:c r="Z307" s="203"/>
      <x:c r="AA307" s="203"/>
    </x:row>
    <x:row r="308" ht="40" customHeight="1">
      <x:c r="A308" s="86" t="str">
        <x:v>C</x:v>
      </x:c>
      <x:c r="B308" s="99" t="str">
        <x:v>Проведение работ при постоянном присутствии лица, ответственного за проведение работ.</x:v>
      </x:c>
      <x:c r="C308" s="100"/>
      <x:c r="D308" s="100"/>
      <x:c r="E308" s="100"/>
      <x:c r="F308" s="100"/>
      <x:c r="G308" s="100"/>
      <x:c r="H308" s="101"/>
      <x:c r="Z308" s="203"/>
      <x:c r="AA308" s="203"/>
    </x:row>
    <x:row r="309" ht="28" customHeight="1">
      <x:c r="A309" s="86" t="str">
        <x:v>D</x:v>
      </x:c>
      <x:c r="B309" s="99" t="str">
        <x:v>Ответы 1 - 3 совместно.</x:v>
      </x:c>
      <x:c r="C309" s="100"/>
      <x:c r="D309" s="100"/>
      <x:c r="E309" s="100"/>
      <x:c r="F309" s="100"/>
      <x:c r="G309" s="100"/>
      <x:c r="H309" s="101"/>
      <x:c r="Z309" s="203"/>
      <x:c r="AA309" s="203"/>
    </x:row>
    <x:row r="310">
      <x:c r="Z310" s="203"/>
      <x:c r="AA310" s="203"/>
    </x:row>
    <x:row r="311" ht="30" customHeight="1">
      <x:c r="A311" s="116" t="str">
        <x:v>Ваш ответ:</x:v>
      </x:c>
      <x:c r="B311" s="117"/>
      <x:c r="C311" s="132" t="str"/>
      <x:c r="D311" s="133"/>
      <x:c r="E311" s="133"/>
      <x:c r="F311" s="133"/>
      <x:c r="G311" s="133"/>
      <x:c r="H311" s="134"/>
      <x:c r="Z311" s="203" t="n">
        <x:f>IF(C311="",0,IF(C311="D",1,0))</x:f>
        <x:v>0</x:v>
      </x:c>
      <x:c r="AA311" s="203" t="n">
        <x:f>IF(C311="",0,1)</x:f>
        <x:v>0</x:v>
      </x:c>
    </x:row>
    <x:row r="312">
      <x:c r="Z312" s="203"/>
      <x:c r="AA312" s="203"/>
    </x:row>
    <x:row r="313" ht="30" customHeight="1">
      <x:c r="A313" s="341" t="str">
        <x:v>Комментарий:</x:v>
      </x:c>
      <x:c r="B313" s="342"/>
      <x:c r="C313" s="176" t="str">
        <x:f>IF(C311="","Выберите ответ.",IF(C311="A","Неверно. Этот вариант не соответствует ключу исходного теста. Правильный вариант: D.",IF(C311="B","Неверно. Этот вариант не соответствует ключу исходного теста. Правильный вариант: D.",IF(C311="C","Неверно. Этот вариант не соответствует ключу исходного теста. Правильный вариант: D.",IF(C311="D","Верно. Этот вариант соответствует ключу исходного теста.","Неверно. Ответ не распознан. Правильный вариант: D.")))))</x:f>
        <x:v>Выберите ответ.</x:v>
      </x:c>
      <x:c r="D313" s="177"/>
      <x:c r="E313" s="177"/>
      <x:c r="F313" s="177"/>
      <x:c r="G313" s="177"/>
      <x:c r="H313" s="178"/>
      <x:c r="Z313" s="203"/>
      <x:c r="AA313" s="203"/>
    </x:row>
    <x:row r="314" ht="30" customHeight="1">
      <x:c r="A314" s="308"/>
      <x:c r="B314" s="308"/>
      <x:c r="C314" s="179"/>
      <x:c r="D314" s="180"/>
      <x:c r="E314" s="180"/>
      <x:c r="F314" s="180"/>
      <x:c r="G314" s="180"/>
      <x:c r="H314" s="181"/>
      <x:c r="Z314" s="203"/>
      <x:c r="AA314" s="203"/>
    </x:row>
    <x:row r="315">
      <x:c r="Z315" s="203"/>
      <x:c r="AA315" s="203"/>
    </x:row>
    <x:row r="316" ht="24" customHeight="1">
      <x:c r="A316" s="38" t="str">
        <x:v>Вопрос 23 из 25</x:v>
      </x:c>
      <x:c r="B316" s="38"/>
      <x:c r="C316" s="38"/>
      <x:c r="D316" s="38"/>
      <x:c r="E316" s="38"/>
      <x:c r="F316" s="38"/>
      <x:c r="G316" s="38"/>
      <x:c r="H316" s="38"/>
      <x:c r="Z316" s="203"/>
      <x:c r="AA316" s="203"/>
    </x:row>
    <x:row r="317" ht="42" customHeight="1">
      <x:c r="A317" s="56" t="str">
        <x:v>Кто утверждает специальную инструкцию и План проведения газоопасных работ по первоначальному заполнению природным газом технологического оборудования и коммуникаций вводимого объекта?</x:v>
      </x:c>
      <x:c r="B317" s="57"/>
      <x:c r="C317" s="57"/>
      <x:c r="D317" s="57"/>
      <x:c r="E317" s="57"/>
      <x:c r="F317" s="57"/>
      <x:c r="G317" s="57"/>
      <x:c r="H317" s="58"/>
      <x:c r="Z317" s="203"/>
      <x:c r="AA317" s="203"/>
    </x:row>
    <x:row r="318" ht="42" customHeight="1">
      <x:c r="A318" s="59"/>
      <x:c r="B318" s="60"/>
      <x:c r="C318" s="60"/>
      <x:c r="D318" s="60"/>
      <x:c r="E318" s="60"/>
      <x:c r="F318" s="60"/>
      <x:c r="G318" s="60"/>
      <x:c r="H318" s="61"/>
      <x:c r="Z318" s="203"/>
      <x:c r="AA318" s="203"/>
    </x:row>
    <x:row r="319">
      <x:c r="Z319" s="203"/>
      <x:c r="AA319" s="203"/>
    </x:row>
    <x:row r="320" ht="28" customHeight="1">
      <x:c r="A320" s="86" t="str">
        <x:v>A</x:v>
      </x:c>
      <x:c r="B320" s="99" t="str">
        <x:v>Начальник управления.</x:v>
      </x:c>
      <x:c r="C320" s="100"/>
      <x:c r="D320" s="100"/>
      <x:c r="E320" s="100"/>
      <x:c r="F320" s="100"/>
      <x:c r="G320" s="100"/>
      <x:c r="H320" s="101"/>
      <x:c r="Z320" s="203"/>
      <x:c r="AA320" s="203"/>
    </x:row>
    <x:row r="321" ht="40" customHeight="1">
      <x:c r="A321" s="86" t="str">
        <x:v>B</x:v>
      </x:c>
      <x:c r="B321" s="99" t="str">
        <x:v>Главный инженер управления или заместитель начальника управления по производству.</x:v>
      </x:c>
      <x:c r="C321" s="100"/>
      <x:c r="D321" s="100"/>
      <x:c r="E321" s="100"/>
      <x:c r="F321" s="100"/>
      <x:c r="G321" s="100"/>
      <x:c r="H321" s="101"/>
      <x:c r="Z321" s="203"/>
      <x:c r="AA321" s="203"/>
    </x:row>
    <x:row r="322" ht="40" customHeight="1">
      <x:c r="A322" s="86" t="str">
        <x:v>C</x:v>
      </x:c>
      <x:c r="B322" s="99" t="str">
        <x:v>Главный инженер - первый заместитель генерального директора Общества или заместитель генерального директора по производству.</x:v>
      </x:c>
      <x:c r="C322" s="100"/>
      <x:c r="D322" s="100"/>
      <x:c r="E322" s="100"/>
      <x:c r="F322" s="100"/>
      <x:c r="G322" s="100"/>
      <x:c r="H322" s="101"/>
      <x:c r="Z322" s="203"/>
      <x:c r="AA322" s="203"/>
    </x:row>
    <x:row r="323" ht="40" customHeight="1">
      <x:c r="A323" s="86" t="str">
        <x:v>D</x:v>
      </x:c>
      <x:c r="B323" s="99" t="str">
        <x:v>Заместитель главного инженера Общества по охране труда промышленной и пожарной безопасности.</x:v>
      </x:c>
      <x:c r="C323" s="100"/>
      <x:c r="D323" s="100"/>
      <x:c r="E323" s="100"/>
      <x:c r="F323" s="100"/>
      <x:c r="G323" s="100"/>
      <x:c r="H323" s="101"/>
      <x:c r="Z323" s="203"/>
      <x:c r="AA323" s="203"/>
    </x:row>
    <x:row r="324" ht="28" customHeight="1">
      <x:c r="A324" s="86" t="str">
        <x:v>E</x:v>
      </x:c>
      <x:c r="B324" s="99" t="str">
        <x:v>Генеральный директор Общества.</x:v>
      </x:c>
      <x:c r="C324" s="100"/>
      <x:c r="D324" s="100"/>
      <x:c r="E324" s="100"/>
      <x:c r="F324" s="100"/>
      <x:c r="G324" s="100"/>
      <x:c r="H324" s="101"/>
      <x:c r="Z324" s="203"/>
      <x:c r="AA324" s="203"/>
    </x:row>
    <x:row r="325">
      <x:c r="Z325" s="203"/>
      <x:c r="AA325" s="203"/>
    </x:row>
    <x:row r="326" ht="30" customHeight="1">
      <x:c r="A326" s="116" t="str">
        <x:v>Ваш ответ:</x:v>
      </x:c>
      <x:c r="B326" s="117"/>
      <x:c r="C326" s="132" t="str"/>
      <x:c r="D326" s="133"/>
      <x:c r="E326" s="133"/>
      <x:c r="F326" s="133"/>
      <x:c r="G326" s="133"/>
      <x:c r="H326" s="134"/>
      <x:c r="Z326" s="203" t="n">
        <x:f>IF(C326="",0,IF(C326="C",1,0))</x:f>
        <x:v>0</x:v>
      </x:c>
      <x:c r="AA326" s="203" t="n">
        <x:f>IF(C326="",0,1)</x:f>
        <x:v>0</x:v>
      </x:c>
    </x:row>
    <x:row r="327">
      <x:c r="Z327" s="203"/>
      <x:c r="AA327" s="203"/>
    </x:row>
    <x:row r="328" ht="30" customHeight="1">
      <x:c r="A328" s="341" t="str">
        <x:v>Комментарий:</x:v>
      </x:c>
      <x:c r="B328" s="342"/>
      <x:c r="C328" s="176" t="str">
        <x:f>IF(C326="","Выберите ответ.",IF(C326="A","Неверно. Полномочие отнесено к другому ответственному лицу. Правильный вариант: C.",IF(C326="B","Неверно. Полномочие отнесено к другому ответственному лицу. Правильный вариант: C.",IF(C326="C","Верно. По ключу теста это действие относится к указанному ответственному лицу.",IF(C326="D","Неверно. Полномочие отнесено к другому ответственному лицу. Правильный вариант: C.",IF(C326="E","Неверно. Полномочие отнесено к другому ответственному лицу. Правильный вариант: C.","Неверно. Ответ не распознан. Правильный вариант: C."))))))</x:f>
        <x:v>Выберите ответ.</x:v>
      </x:c>
      <x:c r="D328" s="177"/>
      <x:c r="E328" s="177"/>
      <x:c r="F328" s="177"/>
      <x:c r="G328" s="177"/>
      <x:c r="H328" s="178"/>
      <x:c r="Z328" s="203"/>
      <x:c r="AA328" s="203"/>
    </x:row>
    <x:row r="329" ht="30" customHeight="1">
      <x:c r="A329" s="308"/>
      <x:c r="B329" s="308"/>
      <x:c r="C329" s="179"/>
      <x:c r="D329" s="180"/>
      <x:c r="E329" s="180"/>
      <x:c r="F329" s="180"/>
      <x:c r="G329" s="180"/>
      <x:c r="H329" s="181"/>
      <x:c r="Z329" s="203"/>
      <x:c r="AA329" s="203"/>
    </x:row>
    <x:row r="330">
      <x:c r="Z330" s="203"/>
      <x:c r="AA330" s="203"/>
    </x:row>
    <x:row r="331" ht="24" customHeight="1">
      <x:c r="A331" s="38" t="str">
        <x:v>Вопрос 24 из 25</x:v>
      </x:c>
      <x:c r="B331" s="38"/>
      <x:c r="C331" s="38"/>
      <x:c r="D331" s="38"/>
      <x:c r="E331" s="38"/>
      <x:c r="F331" s="38"/>
      <x:c r="G331" s="38"/>
      <x:c r="H331" s="38"/>
      <x:c r="Z331" s="203"/>
      <x:c r="AA331" s="203"/>
    </x:row>
    <x:row r="332" ht="30" customHeight="1">
      <x:c r="A332" s="56" t="str">
        <x:v>Кто согласовывает перечни газоопасных работ?</x:v>
      </x:c>
      <x:c r="B332" s="57"/>
      <x:c r="C332" s="57"/>
      <x:c r="D332" s="57"/>
      <x:c r="E332" s="57"/>
      <x:c r="F332" s="57"/>
      <x:c r="G332" s="57"/>
      <x:c r="H332" s="58"/>
      <x:c r="Z332" s="203"/>
      <x:c r="AA332" s="203"/>
    </x:row>
    <x:row r="333" ht="30" customHeight="1">
      <x:c r="A333" s="59"/>
      <x:c r="B333" s="60"/>
      <x:c r="C333" s="60"/>
      <x:c r="D333" s="60"/>
      <x:c r="E333" s="60"/>
      <x:c r="F333" s="60"/>
      <x:c r="G333" s="60"/>
      <x:c r="H333" s="61"/>
      <x:c r="Z333" s="203"/>
      <x:c r="AA333" s="203"/>
    </x:row>
    <x:row r="334">
      <x:c r="Z334" s="203"/>
      <x:c r="AA334" s="203"/>
    </x:row>
    <x:row r="335" ht="28" customHeight="1">
      <x:c r="A335" s="86" t="str">
        <x:v>A</x:v>
      </x:c>
      <x:c r="B335" s="99" t="str">
        <x:v>Главный инженер филиала.</x:v>
      </x:c>
      <x:c r="C335" s="100"/>
      <x:c r="D335" s="100"/>
      <x:c r="E335" s="100"/>
      <x:c r="F335" s="100"/>
      <x:c r="G335" s="100"/>
      <x:c r="H335" s="101"/>
      <x:c r="Z335" s="203"/>
      <x:c r="AA335" s="203"/>
    </x:row>
    <x:row r="336" ht="28" customHeight="1">
      <x:c r="A336" s="86" t="str">
        <x:v>B</x:v>
      </x:c>
      <x:c r="B336" s="99" t="str">
        <x:v>Структурные подразделения, на которые возложены данные полномочия.</x:v>
      </x:c>
      <x:c r="C336" s="100"/>
      <x:c r="D336" s="100"/>
      <x:c r="E336" s="100"/>
      <x:c r="F336" s="100"/>
      <x:c r="G336" s="100"/>
      <x:c r="H336" s="101"/>
      <x:c r="Z336" s="203"/>
      <x:c r="AA336" s="203"/>
    </x:row>
    <x:row r="337" ht="40" customHeight="1">
      <x:c r="A337" s="86" t="str">
        <x:v>C</x:v>
      </x:c>
      <x:c r="B337" s="99" t="str">
        <x:v>С собственной ПАСС, аттестованной на ведение газоспасательных работ, либо ПАСС, с которой заключен договор на обслуживание.</x:v>
      </x:c>
      <x:c r="C337" s="100"/>
      <x:c r="D337" s="100"/>
      <x:c r="E337" s="100"/>
      <x:c r="F337" s="100"/>
      <x:c r="G337" s="100"/>
      <x:c r="H337" s="101"/>
      <x:c r="Z337" s="203"/>
      <x:c r="AA337" s="203"/>
    </x:row>
    <x:row r="338" ht="40" customHeight="1">
      <x:c r="A338" s="86" t="str">
        <x:v>D</x:v>
      </x:c>
      <x:c r="B338" s="99" t="str">
        <x:v>Лица, назначенные ответственными за осуществление производственного контроля в филиале.</x:v>
      </x:c>
      <x:c r="C338" s="100"/>
      <x:c r="D338" s="100"/>
      <x:c r="E338" s="100"/>
      <x:c r="F338" s="100"/>
      <x:c r="G338" s="100"/>
      <x:c r="H338" s="101"/>
      <x:c r="Z338" s="203"/>
      <x:c r="AA338" s="203"/>
    </x:row>
    <x:row r="339">
      <x:c r="Z339" s="203"/>
      <x:c r="AA339" s="203"/>
    </x:row>
    <x:row r="340" ht="30" customHeight="1">
      <x:c r="A340" s="116" t="str">
        <x:v>Ваш ответ:</x:v>
      </x:c>
      <x:c r="B340" s="117"/>
      <x:c r="C340" s="132" t="str"/>
      <x:c r="D340" s="133"/>
      <x:c r="E340" s="133"/>
      <x:c r="F340" s="133"/>
      <x:c r="G340" s="133"/>
      <x:c r="H340" s="134"/>
      <x:c r="Z340" s="203" t="n">
        <x:f>IF(C340="",0,IF(C340="C,D",1,0))</x:f>
        <x:v>0</x:v>
      </x:c>
      <x:c r="AA340" s="203" t="n">
        <x:f>IF(C340="",0,1)</x:f>
        <x:v>0</x:v>
      </x:c>
    </x:row>
    <x:row r="341">
      <x:c r="Z341" s="203"/>
      <x:c r="AA341" s="203"/>
    </x:row>
    <x:row r="342" ht="30" customHeight="1">
      <x:c r="A342" s="341" t="str">
        <x:v>Комментарий:</x:v>
      </x:c>
      <x:c r="B342" s="342"/>
      <x:c r="C342" s="176" t="str">
        <x:f>IF(C340="","Выберите ответ.",IF(C340="C,D","Верно. В исходном тесте требуется именно эта комбинация пунктов: C,D.","Неверно. Комбинация неполная или содержит лишний пункт. По ключу теста правильная комбинация: C,D."))</x:f>
        <x:v>Выберите ответ.</x:v>
      </x:c>
      <x:c r="D342" s="177"/>
      <x:c r="E342" s="177"/>
      <x:c r="F342" s="177"/>
      <x:c r="G342" s="177"/>
      <x:c r="H342" s="178"/>
      <x:c r="Z342" s="203"/>
      <x:c r="AA342" s="203"/>
    </x:row>
    <x:row r="343" ht="30" customHeight="1">
      <x:c r="A343" s="308"/>
      <x:c r="B343" s="308"/>
      <x:c r="C343" s="179"/>
      <x:c r="D343" s="180"/>
      <x:c r="E343" s="180"/>
      <x:c r="F343" s="180"/>
      <x:c r="G343" s="180"/>
      <x:c r="H343" s="181"/>
      <x:c r="Z343" s="203"/>
      <x:c r="AA343" s="203"/>
    </x:row>
    <x:row r="344">
      <x:c r="Z344" s="203"/>
      <x:c r="AA344" s="203"/>
    </x:row>
    <x:row r="345" ht="24" customHeight="1">
      <x:c r="A345" s="38" t="str">
        <x:v>Вопрос 25 из 25</x:v>
      </x:c>
      <x:c r="B345" s="38"/>
      <x:c r="C345" s="38"/>
      <x:c r="D345" s="38"/>
      <x:c r="E345" s="38"/>
      <x:c r="F345" s="38"/>
      <x:c r="G345" s="38"/>
      <x:c r="H345" s="38"/>
      <x:c r="Z345" s="203"/>
      <x:c r="AA345" s="203"/>
    </x:row>
    <x:row r="346" ht="30" customHeight="1">
      <x:c r="A346" s="56" t="str">
        <x:v>На какой срок выдается наряд-допуск при выполнении в составе плановых ремонтных работ объекта?</x:v>
      </x:c>
      <x:c r="B346" s="57"/>
      <x:c r="C346" s="57"/>
      <x:c r="D346" s="57"/>
      <x:c r="E346" s="57"/>
      <x:c r="F346" s="57"/>
      <x:c r="G346" s="57"/>
      <x:c r="H346" s="58"/>
      <x:c r="Z346" s="203"/>
      <x:c r="AA346" s="203"/>
    </x:row>
    <x:row r="347" ht="30" customHeight="1">
      <x:c r="A347" s="59"/>
      <x:c r="B347" s="60"/>
      <x:c r="C347" s="60"/>
      <x:c r="D347" s="60"/>
      <x:c r="E347" s="60"/>
      <x:c r="F347" s="60"/>
      <x:c r="G347" s="60"/>
      <x:c r="H347" s="61"/>
      <x:c r="Z347" s="203"/>
      <x:c r="AA347" s="203"/>
    </x:row>
    <x:row r="348">
      <x:c r="Z348" s="203"/>
      <x:c r="AA348" s="203"/>
    </x:row>
    <x:row r="349" ht="28" customHeight="1">
      <x:c r="A349" s="86" t="str">
        <x:v>A</x:v>
      </x:c>
      <x:c r="B349" s="99" t="str">
        <x:v>На весь период проведения ремонтных работ.</x:v>
      </x:c>
      <x:c r="C349" s="100"/>
      <x:c r="D349" s="100"/>
      <x:c r="E349" s="100"/>
      <x:c r="F349" s="100"/>
      <x:c r="G349" s="100"/>
      <x:c r="H349" s="101"/>
      <x:c r="Z349" s="203"/>
      <x:c r="AA349" s="203"/>
    </x:row>
    <x:row r="350" ht="28" customHeight="1">
      <x:c r="A350" s="86" t="str">
        <x:v>B</x:v>
      </x:c>
      <x:c r="B350" s="99" t="str">
        <x:v>На 15 дней работ с ежедневным продлением не более чем на одну рабочую смену.</x:v>
      </x:c>
      <x:c r="C350" s="100"/>
      <x:c r="D350" s="100"/>
      <x:c r="E350" s="100"/>
      <x:c r="F350" s="100"/>
      <x:c r="G350" s="100"/>
      <x:c r="H350" s="101"/>
      <x:c r="Z350" s="203"/>
      <x:c r="AA350" s="203"/>
    </x:row>
    <x:row r="351" ht="40" customHeight="1">
      <x:c r="A351" s="86" t="str">
        <x:v>C</x:v>
      </x:c>
      <x:c r="B351" s="99" t="str">
        <x:v>Только на одну дневную смену с ежедневным продлением не более чем на одну рабочую смену.</x:v>
      </x:c>
      <x:c r="C351" s="100"/>
      <x:c r="D351" s="100"/>
      <x:c r="E351" s="100"/>
      <x:c r="F351" s="100"/>
      <x:c r="G351" s="100"/>
      <x:c r="H351" s="101"/>
      <x:c r="Z351" s="203"/>
      <x:c r="AA351" s="203"/>
    </x:row>
    <x:row r="352" ht="28" customHeight="1">
      <x:c r="A352" s="86" t="str">
        <x:v>D</x:v>
      </x:c>
      <x:c r="B352" s="99" t="str">
        <x:v>На период, указанный в плане ремонтных работ.</x:v>
      </x:c>
      <x:c r="C352" s="100"/>
      <x:c r="D352" s="100"/>
      <x:c r="E352" s="100"/>
      <x:c r="F352" s="100"/>
      <x:c r="G352" s="100"/>
      <x:c r="H352" s="101"/>
      <x:c r="Z352" s="203"/>
      <x:c r="AA352" s="203"/>
    </x:row>
    <x:row r="353" ht="40" customHeight="1">
      <x:c r="A353" s="86" t="str">
        <x:v>E</x:v>
      </x:c>
      <x:c r="B353" s="99" t="str">
        <x:v>На весь период проведения ремонтных работ с ежедневным продлением не более чем на одну рабочую смену.</x:v>
      </x:c>
      <x:c r="C353" s="100"/>
      <x:c r="D353" s="100"/>
      <x:c r="E353" s="100"/>
      <x:c r="F353" s="100"/>
      <x:c r="G353" s="100"/>
      <x:c r="H353" s="101"/>
      <x:c r="Z353" s="203"/>
      <x:c r="AA353" s="203"/>
    </x:row>
    <x:row r="354">
      <x:c r="Z354" s="203"/>
      <x:c r="AA354" s="203"/>
    </x:row>
    <x:row r="355" ht="30" customHeight="1">
      <x:c r="A355" s="116" t="str">
        <x:v>Ваш ответ:</x:v>
      </x:c>
      <x:c r="B355" s="117"/>
      <x:c r="C355" s="132" t="str"/>
      <x:c r="D355" s="133"/>
      <x:c r="E355" s="133"/>
      <x:c r="F355" s="133"/>
      <x:c r="G355" s="133"/>
      <x:c r="H355" s="134"/>
      <x:c r="Z355" s="203" t="n">
        <x:f>IF(C355="",0,IF(C355="E",1,0))</x:f>
        <x:v>0</x:v>
      </x:c>
      <x:c r="AA355" s="203" t="n">
        <x:f>IF(C355="",0,1)</x:f>
        <x:v>0</x:v>
      </x:c>
    </x:row>
    <x:row r="356">
      <x:c r="Z356" s="203"/>
      <x:c r="AA356" s="203"/>
    </x:row>
    <x:row r="357" ht="30" customHeight="1">
      <x:c r="A357" s="341" t="str">
        <x:v>Комментарий:</x:v>
      </x:c>
      <x:c r="B357" s="342"/>
      <x:c r="C357" s="176" t="str">
        <x:f>IF(C355="","Выберите ответ.",IF(C355="A","Неверно. Этот вариант не соответствует ключу исходного теста. Правильный вариант: E.",IF(C355="B","Неверно. Этот вариант не соответствует ключу исходного теста. Правильный вариант: E.",IF(C355="C","Неверно. Этот вариант не соответствует ключу исходного теста. Правильный вариант: E.",IF(C355="D","Неверно. Этот вариант не соответствует ключу исходного теста. Правильный вариант: E.",IF(C355="E","Верно. Этот вариант соответствует ключу исходного теста.","Неверно. Ответ не распознан. Правильный вариант: E."))))))</x:f>
        <x:v>Выберите ответ.</x:v>
      </x:c>
      <x:c r="D357" s="177"/>
      <x:c r="E357" s="177"/>
      <x:c r="F357" s="177"/>
      <x:c r="G357" s="177"/>
      <x:c r="H357" s="178"/>
      <x:c r="Z357" s="203"/>
      <x:c r="AA357" s="203"/>
    </x:row>
    <x:row r="358" ht="30" customHeight="1">
      <x:c r="A358" s="308"/>
      <x:c r="B358" s="308"/>
      <x:c r="C358" s="179"/>
      <x:c r="D358" s="180"/>
      <x:c r="E358" s="180"/>
      <x:c r="F358" s="180"/>
      <x:c r="G358" s="180"/>
      <x:c r="H358" s="181"/>
      <x:c r="Z358" s="203"/>
      <x:c r="AA358" s="203"/>
    </x:row>
    <x:row r="359">
      <x:c r="Z359" s="203"/>
      <x:c r="AA359" s="203"/>
    </x:row>
    <x:row r="360">
      <x:c r="A360" s="209" t="str">
        <x:v>Подсказка: в вопросах с несколькими правильными ответами буквы выбираются одной комбинацией без пробелов, например B,D.</x:v>
      </x:c>
      <x:c r="B360" s="209"/>
      <x:c r="C360" s="209"/>
      <x:c r="D360" s="209"/>
      <x:c r="E360" s="209"/>
      <x:c r="F360" s="209"/>
      <x:c r="G360" s="209"/>
      <x:c r="H360" s="209"/>
      <x:c r="Z360" s="203"/>
      <x:c r="AA360" s="203"/>
    </x:row>
    <x:row r="361">
      <x:c r="A361" s="209"/>
      <x:c r="B361" s="209"/>
      <x:c r="C361" s="209"/>
      <x:c r="D361" s="209"/>
      <x:c r="E361" s="209"/>
      <x:c r="F361" s="209"/>
      <x:c r="G361" s="209"/>
      <x:c r="H361" s="209"/>
    </x:row>
  </x:sheetData>
  <x:mergeCells>
    <x:mergeCell ref="A1:H1"/>
    <x:mergeCell ref="A2:H2"/>
    <x:mergeCell ref="A3:B3"/>
    <x:mergeCell ref="D3:E3"/>
    <x:mergeCell ref="A5:H5"/>
    <x:mergeCell ref="A6:H7"/>
    <x:mergeCell ref="B9:H9"/>
    <x:mergeCell ref="B10:H10"/>
    <x:mergeCell ref="B11:H11"/>
    <x:mergeCell ref="B12:H12"/>
    <x:mergeCell ref="A14:B14"/>
    <x:mergeCell ref="C14:H14"/>
    <x:mergeCell ref="A16:B16"/>
    <x:mergeCell ref="C16:H17"/>
    <x:mergeCell ref="A19:H19"/>
    <x:mergeCell ref="A20:H21"/>
    <x:mergeCell ref="B23:H23"/>
    <x:mergeCell ref="B24:H24"/>
    <x:mergeCell ref="B25:H25"/>
    <x:mergeCell ref="B26:H26"/>
    <x:mergeCell ref="A28:B28"/>
    <x:mergeCell ref="C28:H28"/>
    <x:mergeCell ref="A30:B30"/>
    <x:mergeCell ref="C30:H31"/>
    <x:mergeCell ref="A33:H33"/>
    <x:mergeCell ref="A34:H35"/>
    <x:mergeCell ref="B37:H37"/>
    <x:mergeCell ref="B38:H38"/>
    <x:mergeCell ref="B39:H39"/>
    <x:mergeCell ref="B40:H40"/>
    <x:mergeCell ref="A42:B42"/>
    <x:mergeCell ref="C42:H42"/>
    <x:mergeCell ref="A44:B44"/>
    <x:mergeCell ref="C44:H45"/>
    <x:mergeCell ref="A47:H47"/>
    <x:mergeCell ref="A48:H49"/>
    <x:mergeCell ref="B51:H51"/>
    <x:mergeCell ref="B52:H52"/>
    <x:mergeCell ref="B53:H53"/>
    <x:mergeCell ref="B54:H54"/>
    <x:mergeCell ref="A56:B56"/>
    <x:mergeCell ref="C56:H56"/>
    <x:mergeCell ref="A58:B58"/>
    <x:mergeCell ref="C58:H59"/>
    <x:mergeCell ref="A61:H61"/>
    <x:mergeCell ref="A62:H63"/>
    <x:mergeCell ref="B65:H65"/>
    <x:mergeCell ref="B66:H66"/>
    <x:mergeCell ref="B67:H67"/>
    <x:mergeCell ref="B68:H68"/>
    <x:mergeCell ref="A70:B70"/>
    <x:mergeCell ref="C70:H70"/>
    <x:mergeCell ref="A72:B72"/>
    <x:mergeCell ref="C72:H73"/>
    <x:mergeCell ref="A75:H75"/>
    <x:mergeCell ref="A76:H77"/>
    <x:mergeCell ref="B79:H79"/>
    <x:mergeCell ref="B80:H80"/>
    <x:mergeCell ref="B81:H81"/>
    <x:mergeCell ref="B82:H82"/>
    <x:mergeCell ref="A84:B84"/>
    <x:mergeCell ref="C84:H84"/>
    <x:mergeCell ref="A86:B86"/>
    <x:mergeCell ref="C86:H87"/>
    <x:mergeCell ref="A89:H89"/>
    <x:mergeCell ref="A90:H91"/>
    <x:mergeCell ref="B93:H93"/>
    <x:mergeCell ref="B94:H94"/>
    <x:mergeCell ref="B95:H95"/>
    <x:mergeCell ref="B96:H96"/>
    <x:mergeCell ref="A98:B98"/>
    <x:mergeCell ref="C98:H98"/>
    <x:mergeCell ref="A100:B100"/>
    <x:mergeCell ref="C100:H101"/>
    <x:mergeCell ref="A103:H103"/>
    <x:mergeCell ref="A104:H105"/>
    <x:mergeCell ref="B107:H107"/>
    <x:mergeCell ref="B108:H108"/>
    <x:mergeCell ref="B109:H109"/>
    <x:mergeCell ref="B110:H110"/>
    <x:mergeCell ref="A112:B112"/>
    <x:mergeCell ref="C112:H112"/>
    <x:mergeCell ref="A114:B114"/>
    <x:mergeCell ref="C114:H115"/>
    <x:mergeCell ref="A117:H117"/>
    <x:mergeCell ref="A118:H119"/>
    <x:mergeCell ref="B121:H121"/>
    <x:mergeCell ref="B122:H122"/>
    <x:mergeCell ref="B123:H123"/>
    <x:mergeCell ref="B124:H124"/>
    <x:mergeCell ref="A126:B126"/>
    <x:mergeCell ref="C126:H126"/>
    <x:mergeCell ref="A128:B128"/>
    <x:mergeCell ref="C128:H129"/>
    <x:mergeCell ref="A131:H131"/>
    <x:mergeCell ref="A132:H133"/>
    <x:mergeCell ref="B135:H135"/>
    <x:mergeCell ref="B136:H136"/>
    <x:mergeCell ref="B137:H137"/>
    <x:mergeCell ref="B138:H138"/>
    <x:mergeCell ref="A140:B140"/>
    <x:mergeCell ref="C140:H140"/>
    <x:mergeCell ref="A142:B142"/>
    <x:mergeCell ref="C142:H143"/>
    <x:mergeCell ref="A145:H145"/>
    <x:mergeCell ref="A146:H147"/>
    <x:mergeCell ref="B149:H149"/>
    <x:mergeCell ref="B150:H150"/>
    <x:mergeCell ref="B151:H151"/>
    <x:mergeCell ref="B152:H152"/>
    <x:mergeCell ref="A154:B154"/>
    <x:mergeCell ref="C154:H154"/>
    <x:mergeCell ref="A156:B156"/>
    <x:mergeCell ref="C156:H157"/>
    <x:mergeCell ref="A159:H159"/>
    <x:mergeCell ref="A160:H161"/>
    <x:mergeCell ref="B163:H163"/>
    <x:mergeCell ref="B164:H164"/>
    <x:mergeCell ref="B165:H165"/>
    <x:mergeCell ref="B166:H166"/>
    <x:mergeCell ref="A168:B168"/>
    <x:mergeCell ref="C168:H168"/>
    <x:mergeCell ref="A170:B170"/>
    <x:mergeCell ref="C170:H171"/>
    <x:mergeCell ref="A173:H173"/>
    <x:mergeCell ref="A174:H175"/>
    <x:mergeCell ref="B177:H177"/>
    <x:mergeCell ref="B178:H178"/>
    <x:mergeCell ref="B179:H179"/>
    <x:mergeCell ref="B180:H180"/>
    <x:mergeCell ref="B181:H181"/>
    <x:mergeCell ref="A183:B183"/>
    <x:mergeCell ref="C183:H183"/>
    <x:mergeCell ref="A185:B185"/>
    <x:mergeCell ref="C185:H186"/>
    <x:mergeCell ref="A188:H188"/>
    <x:mergeCell ref="A189:H190"/>
    <x:mergeCell ref="B192:H192"/>
    <x:mergeCell ref="B193:H193"/>
    <x:mergeCell ref="B194:H194"/>
    <x:mergeCell ref="B195:H195"/>
    <x:mergeCell ref="A197:B197"/>
    <x:mergeCell ref="C197:H197"/>
    <x:mergeCell ref="A199:B199"/>
    <x:mergeCell ref="C199:H200"/>
    <x:mergeCell ref="A202:H202"/>
    <x:mergeCell ref="A203:H204"/>
    <x:mergeCell ref="B206:H206"/>
    <x:mergeCell ref="B207:H207"/>
    <x:mergeCell ref="B208:H208"/>
    <x:mergeCell ref="B209:H209"/>
    <x:mergeCell ref="A211:B211"/>
    <x:mergeCell ref="C211:H211"/>
    <x:mergeCell ref="A213:B213"/>
    <x:mergeCell ref="C213:H214"/>
    <x:mergeCell ref="A216:H216"/>
    <x:mergeCell ref="A217:H218"/>
    <x:mergeCell ref="B220:H220"/>
    <x:mergeCell ref="B221:H221"/>
    <x:mergeCell ref="B222:H222"/>
    <x:mergeCell ref="B223:H223"/>
    <x:mergeCell ref="A225:B225"/>
    <x:mergeCell ref="C225:H225"/>
    <x:mergeCell ref="A227:B227"/>
    <x:mergeCell ref="C227:H228"/>
    <x:mergeCell ref="A230:H230"/>
    <x:mergeCell ref="A231:H232"/>
    <x:mergeCell ref="B234:H234"/>
    <x:mergeCell ref="B235:H235"/>
    <x:mergeCell ref="B236:H236"/>
    <x:mergeCell ref="B237:H237"/>
    <x:mergeCell ref="A239:B239"/>
    <x:mergeCell ref="C239:H239"/>
    <x:mergeCell ref="A241:B241"/>
    <x:mergeCell ref="C241:H242"/>
    <x:mergeCell ref="A244:H244"/>
    <x:mergeCell ref="A245:H246"/>
    <x:mergeCell ref="B248:H248"/>
    <x:mergeCell ref="B249:H249"/>
    <x:mergeCell ref="B250:H250"/>
    <x:mergeCell ref="B251:H251"/>
    <x:mergeCell ref="A253:B253"/>
    <x:mergeCell ref="C253:H253"/>
    <x:mergeCell ref="A255:B255"/>
    <x:mergeCell ref="C255:H256"/>
    <x:mergeCell ref="A258:H258"/>
    <x:mergeCell ref="A259:H260"/>
    <x:mergeCell ref="B262:H262"/>
    <x:mergeCell ref="B263:H263"/>
    <x:mergeCell ref="B264:H264"/>
    <x:mergeCell ref="B265:H265"/>
    <x:mergeCell ref="A267:B267"/>
    <x:mergeCell ref="C267:H267"/>
    <x:mergeCell ref="A269:B269"/>
    <x:mergeCell ref="C269:H270"/>
    <x:mergeCell ref="A272:H272"/>
    <x:mergeCell ref="A273:H274"/>
    <x:mergeCell ref="B276:H276"/>
    <x:mergeCell ref="B277:H277"/>
    <x:mergeCell ref="B278:H278"/>
    <x:mergeCell ref="B279:H279"/>
    <x:mergeCell ref="B280:H280"/>
    <x:mergeCell ref="A282:B282"/>
    <x:mergeCell ref="C282:H282"/>
    <x:mergeCell ref="A284:B284"/>
    <x:mergeCell ref="C284:H285"/>
    <x:mergeCell ref="A287:H287"/>
    <x:mergeCell ref="A288:H289"/>
    <x:mergeCell ref="B291:H291"/>
    <x:mergeCell ref="B292:H292"/>
    <x:mergeCell ref="B293:H293"/>
    <x:mergeCell ref="B294:H294"/>
    <x:mergeCell ref="B295:H295"/>
    <x:mergeCell ref="A297:B297"/>
    <x:mergeCell ref="C297:H297"/>
    <x:mergeCell ref="A299:B299"/>
    <x:mergeCell ref="C299:H300"/>
    <x:mergeCell ref="A302:H302"/>
    <x:mergeCell ref="A303:H304"/>
    <x:mergeCell ref="B306:H306"/>
    <x:mergeCell ref="B307:H307"/>
    <x:mergeCell ref="B308:H308"/>
    <x:mergeCell ref="B309:H309"/>
    <x:mergeCell ref="A311:B311"/>
    <x:mergeCell ref="C311:H311"/>
    <x:mergeCell ref="A313:B313"/>
    <x:mergeCell ref="C313:H314"/>
    <x:mergeCell ref="A316:H316"/>
    <x:mergeCell ref="A317:H318"/>
    <x:mergeCell ref="B320:H320"/>
    <x:mergeCell ref="B321:H321"/>
    <x:mergeCell ref="B322:H322"/>
    <x:mergeCell ref="B323:H323"/>
    <x:mergeCell ref="B324:H324"/>
    <x:mergeCell ref="A326:B326"/>
    <x:mergeCell ref="C326:H326"/>
    <x:mergeCell ref="A328:B328"/>
    <x:mergeCell ref="C328:H329"/>
    <x:mergeCell ref="A331:H331"/>
    <x:mergeCell ref="A332:H333"/>
    <x:mergeCell ref="B335:H335"/>
    <x:mergeCell ref="B336:H336"/>
    <x:mergeCell ref="B337:H337"/>
    <x:mergeCell ref="B338:H338"/>
    <x:mergeCell ref="A340:B340"/>
    <x:mergeCell ref="C340:H340"/>
    <x:mergeCell ref="A342:B342"/>
    <x:mergeCell ref="C342:H343"/>
    <x:mergeCell ref="A345:H345"/>
    <x:mergeCell ref="A346:H347"/>
    <x:mergeCell ref="B349:H349"/>
    <x:mergeCell ref="B350:H350"/>
    <x:mergeCell ref="B351:H351"/>
    <x:mergeCell ref="B352:H352"/>
    <x:mergeCell ref="B353:H353"/>
    <x:mergeCell ref="A355:B355"/>
    <x:mergeCell ref="C355:H355"/>
    <x:mergeCell ref="A357:B357"/>
    <x:mergeCell ref="C357:H358"/>
    <x:mergeCell ref="A360:H361"/>
  </x:mergeCells>
  <x:conditionalFormatting sqref="C14:H14">
    <x:cfRule type="expression" dxfId="0" priority="1">
      <x:formula>$C$14="C"</x:formula>
    </x:cfRule>
    <x:cfRule type="expression" dxfId="1" priority="2">
      <x:formula>AND($C$14&lt;&gt;"",$C$14&lt;&gt;"C")</x:formula>
    </x:cfRule>
  </x:conditionalFormatting>
  <x:conditionalFormatting sqref="C16:H17">
    <x:cfRule type="expression" dxfId="2" priority="3">
      <x:formula>LEFT(C16,5)="Верно"</x:formula>
    </x:cfRule>
    <x:cfRule type="expression" dxfId="3" priority="4">
      <x:formula>LEFT(C16,7)="Неверно"</x:formula>
    </x:cfRule>
  </x:conditionalFormatting>
  <x:conditionalFormatting sqref="C28:H28">
    <x:cfRule type="expression" dxfId="4" priority="5">
      <x:formula>$C$28="D"</x:formula>
    </x:cfRule>
    <x:cfRule type="expression" dxfId="5" priority="6">
      <x:formula>AND($C$28&lt;&gt;"",$C$28&lt;&gt;"D")</x:formula>
    </x:cfRule>
  </x:conditionalFormatting>
  <x:conditionalFormatting sqref="C30:H31">
    <x:cfRule type="expression" dxfId="6" priority="7">
      <x:formula>LEFT(C30,5)="Верно"</x:formula>
    </x:cfRule>
    <x:cfRule type="expression" dxfId="7" priority="8">
      <x:formula>LEFT(C30,7)="Неверно"</x:formula>
    </x:cfRule>
  </x:conditionalFormatting>
  <x:conditionalFormatting sqref="C42:H42">
    <x:cfRule type="expression" dxfId="8" priority="9">
      <x:formula>$C$42="B"</x:formula>
    </x:cfRule>
    <x:cfRule type="expression" dxfId="9" priority="10">
      <x:formula>AND($C$42&lt;&gt;"",$C$42&lt;&gt;"B")</x:formula>
    </x:cfRule>
  </x:conditionalFormatting>
  <x:conditionalFormatting sqref="C44:H45">
    <x:cfRule type="expression" dxfId="10" priority="11">
      <x:formula>LEFT(C44,5)="Верно"</x:formula>
    </x:cfRule>
    <x:cfRule type="expression" dxfId="11" priority="12">
      <x:formula>LEFT(C44,7)="Неверно"</x:formula>
    </x:cfRule>
  </x:conditionalFormatting>
  <x:conditionalFormatting sqref="C56:H56">
    <x:cfRule type="expression" dxfId="12" priority="13">
      <x:formula>$C$56="C"</x:formula>
    </x:cfRule>
    <x:cfRule type="expression" dxfId="13" priority="14">
      <x:formula>AND($C$56&lt;&gt;"",$C$56&lt;&gt;"C")</x:formula>
    </x:cfRule>
  </x:conditionalFormatting>
  <x:conditionalFormatting sqref="C58:H59">
    <x:cfRule type="expression" dxfId="14" priority="15">
      <x:formula>LEFT(C58,5)="Верно"</x:formula>
    </x:cfRule>
    <x:cfRule type="expression" dxfId="15" priority="16">
      <x:formula>LEFT(C58,7)="Неверно"</x:formula>
    </x:cfRule>
  </x:conditionalFormatting>
  <x:conditionalFormatting sqref="C70:H70">
    <x:cfRule type="expression" dxfId="16" priority="17">
      <x:formula>$C$70="C"</x:formula>
    </x:cfRule>
    <x:cfRule type="expression" dxfId="17" priority="18">
      <x:formula>AND($C$70&lt;&gt;"",$C$70&lt;&gt;"C")</x:formula>
    </x:cfRule>
  </x:conditionalFormatting>
  <x:conditionalFormatting sqref="C72:H73">
    <x:cfRule type="expression" dxfId="18" priority="19">
      <x:formula>LEFT(C72,5)="Верно"</x:formula>
    </x:cfRule>
    <x:cfRule type="expression" dxfId="19" priority="20">
      <x:formula>LEFT(C72,7)="Неверно"</x:formula>
    </x:cfRule>
  </x:conditionalFormatting>
  <x:conditionalFormatting sqref="C84:H84">
    <x:cfRule type="expression" dxfId="20" priority="21">
      <x:formula>$C$84="C"</x:formula>
    </x:cfRule>
    <x:cfRule type="expression" dxfId="21" priority="22">
      <x:formula>AND($C$84&lt;&gt;"",$C$84&lt;&gt;"C")</x:formula>
    </x:cfRule>
  </x:conditionalFormatting>
  <x:conditionalFormatting sqref="C86:H87">
    <x:cfRule type="expression" dxfId="22" priority="23">
      <x:formula>LEFT(C86,5)="Верно"</x:formula>
    </x:cfRule>
    <x:cfRule type="expression" dxfId="23" priority="24">
      <x:formula>LEFT(C86,7)="Неверно"</x:formula>
    </x:cfRule>
  </x:conditionalFormatting>
  <x:conditionalFormatting sqref="C98:H98">
    <x:cfRule type="expression" dxfId="24" priority="25">
      <x:formula>$C$98="B"</x:formula>
    </x:cfRule>
    <x:cfRule type="expression" dxfId="25" priority="26">
      <x:formula>AND($C$98&lt;&gt;"",$C$98&lt;&gt;"B")</x:formula>
    </x:cfRule>
  </x:conditionalFormatting>
  <x:conditionalFormatting sqref="C100:H101">
    <x:cfRule type="expression" dxfId="26" priority="27">
      <x:formula>LEFT(C100,5)="Верно"</x:formula>
    </x:cfRule>
    <x:cfRule type="expression" dxfId="27" priority="28">
      <x:formula>LEFT(C100,7)="Неверно"</x:formula>
    </x:cfRule>
  </x:conditionalFormatting>
  <x:conditionalFormatting sqref="C112:H112">
    <x:cfRule type="expression" dxfId="28" priority="29">
      <x:formula>$C$112="A,B,C,D"</x:formula>
    </x:cfRule>
    <x:cfRule type="expression" dxfId="29" priority="30">
      <x:formula>AND($C$112&lt;&gt;"",$C$112&lt;&gt;"A,B,C,D")</x:formula>
    </x:cfRule>
  </x:conditionalFormatting>
  <x:conditionalFormatting sqref="C114:H115">
    <x:cfRule type="expression" dxfId="30" priority="31">
      <x:formula>LEFT(C114,5)="Верно"</x:formula>
    </x:cfRule>
    <x:cfRule type="expression" dxfId="31" priority="32">
      <x:formula>LEFT(C114,7)="Неверно"</x:formula>
    </x:cfRule>
  </x:conditionalFormatting>
  <x:conditionalFormatting sqref="C126:H126">
    <x:cfRule type="expression" dxfId="32" priority="33">
      <x:formula>$C$126="C"</x:formula>
    </x:cfRule>
    <x:cfRule type="expression" dxfId="33" priority="34">
      <x:formula>AND($C$126&lt;&gt;"",$C$126&lt;&gt;"C")</x:formula>
    </x:cfRule>
  </x:conditionalFormatting>
  <x:conditionalFormatting sqref="C128:H129">
    <x:cfRule type="expression" dxfId="34" priority="35">
      <x:formula>LEFT(C128,5)="Верно"</x:formula>
    </x:cfRule>
    <x:cfRule type="expression" dxfId="35" priority="36">
      <x:formula>LEFT(C128,7)="Неверно"</x:formula>
    </x:cfRule>
  </x:conditionalFormatting>
  <x:conditionalFormatting sqref="C140:H140">
    <x:cfRule type="expression" dxfId="36" priority="37">
      <x:formula>$C$140="B,D"</x:formula>
    </x:cfRule>
    <x:cfRule type="expression" dxfId="37" priority="38">
      <x:formula>AND($C$140&lt;&gt;"",$C$140&lt;&gt;"B,D")</x:formula>
    </x:cfRule>
  </x:conditionalFormatting>
  <x:conditionalFormatting sqref="C142:H143">
    <x:cfRule type="expression" dxfId="38" priority="39">
      <x:formula>LEFT(C142,5)="Верно"</x:formula>
    </x:cfRule>
    <x:cfRule type="expression" dxfId="39" priority="40">
      <x:formula>LEFT(C142,7)="Неверно"</x:formula>
    </x:cfRule>
  </x:conditionalFormatting>
  <x:conditionalFormatting sqref="C154:H154">
    <x:cfRule type="expression" dxfId="40" priority="41">
      <x:formula>$C$154="A"</x:formula>
    </x:cfRule>
    <x:cfRule type="expression" dxfId="41" priority="42">
      <x:formula>AND($C$154&lt;&gt;"",$C$154&lt;&gt;"A")</x:formula>
    </x:cfRule>
  </x:conditionalFormatting>
  <x:conditionalFormatting sqref="C156:H157">
    <x:cfRule type="expression" dxfId="42" priority="43">
      <x:formula>LEFT(C156,5)="Верно"</x:formula>
    </x:cfRule>
    <x:cfRule type="expression" dxfId="43" priority="44">
      <x:formula>LEFT(C156,7)="Неверно"</x:formula>
    </x:cfRule>
  </x:conditionalFormatting>
  <x:conditionalFormatting sqref="C168:H168">
    <x:cfRule type="expression" dxfId="44" priority="45">
      <x:formula>$C$168="A"</x:formula>
    </x:cfRule>
    <x:cfRule type="expression" dxfId="45" priority="46">
      <x:formula>AND($C$168&lt;&gt;"",$C$168&lt;&gt;"A")</x:formula>
    </x:cfRule>
  </x:conditionalFormatting>
  <x:conditionalFormatting sqref="C170:H171">
    <x:cfRule type="expression" dxfId="46" priority="47">
      <x:formula>LEFT(C170,5)="Верно"</x:formula>
    </x:cfRule>
    <x:cfRule type="expression" dxfId="47" priority="48">
      <x:formula>LEFT(C170,7)="Неверно"</x:formula>
    </x:cfRule>
  </x:conditionalFormatting>
  <x:conditionalFormatting sqref="C183:H183">
    <x:cfRule type="expression" dxfId="48" priority="49">
      <x:formula>$C$183="C"</x:formula>
    </x:cfRule>
    <x:cfRule type="expression" dxfId="49" priority="50">
      <x:formula>AND($C$183&lt;&gt;"",$C$183&lt;&gt;"C")</x:formula>
    </x:cfRule>
  </x:conditionalFormatting>
  <x:conditionalFormatting sqref="C185:H186">
    <x:cfRule type="expression" dxfId="50" priority="51">
      <x:formula>LEFT(C185,5)="Верно"</x:formula>
    </x:cfRule>
    <x:cfRule type="expression" dxfId="51" priority="52">
      <x:formula>LEFT(C185,7)="Неверно"</x:formula>
    </x:cfRule>
  </x:conditionalFormatting>
  <x:conditionalFormatting sqref="C197:H197">
    <x:cfRule type="expression" dxfId="52" priority="53">
      <x:formula>$C$197="D"</x:formula>
    </x:cfRule>
    <x:cfRule type="expression" dxfId="53" priority="54">
      <x:formula>AND($C$197&lt;&gt;"",$C$197&lt;&gt;"D")</x:formula>
    </x:cfRule>
  </x:conditionalFormatting>
  <x:conditionalFormatting sqref="C199:H200">
    <x:cfRule type="expression" dxfId="54" priority="55">
      <x:formula>LEFT(C199,5)="Верно"</x:formula>
    </x:cfRule>
    <x:cfRule type="expression" dxfId="55" priority="56">
      <x:formula>LEFT(C199,7)="Неверно"</x:formula>
    </x:cfRule>
  </x:conditionalFormatting>
  <x:conditionalFormatting sqref="C211:H211">
    <x:cfRule type="expression" dxfId="56" priority="57">
      <x:formula>$C$211="A"</x:formula>
    </x:cfRule>
    <x:cfRule type="expression" dxfId="57" priority="58">
      <x:formula>AND($C$211&lt;&gt;"",$C$211&lt;&gt;"A")</x:formula>
    </x:cfRule>
  </x:conditionalFormatting>
  <x:conditionalFormatting sqref="C213:H214">
    <x:cfRule type="expression" dxfId="58" priority="59">
      <x:formula>LEFT(C213,5)="Верно"</x:formula>
    </x:cfRule>
    <x:cfRule type="expression" dxfId="59" priority="60">
      <x:formula>LEFT(C213,7)="Неверно"</x:formula>
    </x:cfRule>
  </x:conditionalFormatting>
  <x:conditionalFormatting sqref="C225:H225">
    <x:cfRule type="expression" dxfId="60" priority="61">
      <x:formula>$C$225="C"</x:formula>
    </x:cfRule>
    <x:cfRule type="expression" dxfId="61" priority="62">
      <x:formula>AND($C$225&lt;&gt;"",$C$225&lt;&gt;"C")</x:formula>
    </x:cfRule>
  </x:conditionalFormatting>
  <x:conditionalFormatting sqref="C227:H228">
    <x:cfRule type="expression" dxfId="62" priority="63">
      <x:formula>LEFT(C227,5)="Верно"</x:formula>
    </x:cfRule>
    <x:cfRule type="expression" dxfId="63" priority="64">
      <x:formula>LEFT(C227,7)="Неверно"</x:formula>
    </x:cfRule>
  </x:conditionalFormatting>
  <x:conditionalFormatting sqref="C239:H239">
    <x:cfRule type="expression" dxfId="64" priority="65">
      <x:formula>$C$239="A,B"</x:formula>
    </x:cfRule>
    <x:cfRule type="expression" dxfId="65" priority="66">
      <x:formula>AND($C$239&lt;&gt;"",$C$239&lt;&gt;"A,B")</x:formula>
    </x:cfRule>
  </x:conditionalFormatting>
  <x:conditionalFormatting sqref="C241:H242">
    <x:cfRule type="expression" dxfId="66" priority="67">
      <x:formula>LEFT(C241,5)="Верно"</x:formula>
    </x:cfRule>
    <x:cfRule type="expression" dxfId="67" priority="68">
      <x:formula>LEFT(C241,7)="Неверно"</x:formula>
    </x:cfRule>
  </x:conditionalFormatting>
  <x:conditionalFormatting sqref="C253:H253">
    <x:cfRule type="expression" dxfId="68" priority="69">
      <x:formula>$C$253="A,B,C,D"</x:formula>
    </x:cfRule>
    <x:cfRule type="expression" dxfId="69" priority="70">
      <x:formula>AND($C$253&lt;&gt;"",$C$253&lt;&gt;"A,B,C,D")</x:formula>
    </x:cfRule>
  </x:conditionalFormatting>
  <x:conditionalFormatting sqref="C255:H256">
    <x:cfRule type="expression" dxfId="70" priority="71">
      <x:formula>LEFT(C255,5)="Верно"</x:formula>
    </x:cfRule>
    <x:cfRule type="expression" dxfId="71" priority="72">
      <x:formula>LEFT(C255,7)="Неверно"</x:formula>
    </x:cfRule>
  </x:conditionalFormatting>
  <x:conditionalFormatting sqref="C267:H267">
    <x:cfRule type="expression" dxfId="72" priority="73">
      <x:formula>$C$267="B"</x:formula>
    </x:cfRule>
    <x:cfRule type="expression" dxfId="73" priority="74">
      <x:formula>AND($C$267&lt;&gt;"",$C$267&lt;&gt;"B")</x:formula>
    </x:cfRule>
  </x:conditionalFormatting>
  <x:conditionalFormatting sqref="C269:H270">
    <x:cfRule type="expression" dxfId="74" priority="75">
      <x:formula>LEFT(C269,5)="Верно"</x:formula>
    </x:cfRule>
    <x:cfRule type="expression" dxfId="75" priority="76">
      <x:formula>LEFT(C269,7)="Неверно"</x:formula>
    </x:cfRule>
  </x:conditionalFormatting>
  <x:conditionalFormatting sqref="C282:H282">
    <x:cfRule type="expression" dxfId="76" priority="77">
      <x:formula>$C$282="E"</x:formula>
    </x:cfRule>
    <x:cfRule type="expression" dxfId="77" priority="78">
      <x:formula>AND($C$282&lt;&gt;"",$C$282&lt;&gt;"E")</x:formula>
    </x:cfRule>
  </x:conditionalFormatting>
  <x:conditionalFormatting sqref="C284:H285">
    <x:cfRule type="expression" dxfId="78" priority="79">
      <x:formula>LEFT(C284,5)="Верно"</x:formula>
    </x:cfRule>
    <x:cfRule type="expression" dxfId="79" priority="80">
      <x:formula>LEFT(C284,7)="Неверно"</x:formula>
    </x:cfRule>
  </x:conditionalFormatting>
  <x:conditionalFormatting sqref="C297:H297">
    <x:cfRule type="expression" dxfId="80" priority="81">
      <x:formula>$C$297="B"</x:formula>
    </x:cfRule>
    <x:cfRule type="expression" dxfId="81" priority="82">
      <x:formula>AND($C$297&lt;&gt;"",$C$297&lt;&gt;"B")</x:formula>
    </x:cfRule>
  </x:conditionalFormatting>
  <x:conditionalFormatting sqref="C299:H300">
    <x:cfRule type="expression" dxfId="82" priority="83">
      <x:formula>LEFT(C299,5)="Верно"</x:formula>
    </x:cfRule>
    <x:cfRule type="expression" dxfId="83" priority="84">
      <x:formula>LEFT(C299,7)="Неверно"</x:formula>
    </x:cfRule>
  </x:conditionalFormatting>
  <x:conditionalFormatting sqref="C311:H311">
    <x:cfRule type="expression" dxfId="84" priority="85">
      <x:formula>$C$311="D"</x:formula>
    </x:cfRule>
    <x:cfRule type="expression" dxfId="85" priority="86">
      <x:formula>AND($C$311&lt;&gt;"",$C$311&lt;&gt;"D")</x:formula>
    </x:cfRule>
  </x:conditionalFormatting>
  <x:conditionalFormatting sqref="C313:H314">
    <x:cfRule type="expression" dxfId="86" priority="87">
      <x:formula>LEFT(C313,5)="Верно"</x:formula>
    </x:cfRule>
    <x:cfRule type="expression" dxfId="87" priority="88">
      <x:formula>LEFT(C313,7)="Неверно"</x:formula>
    </x:cfRule>
  </x:conditionalFormatting>
  <x:conditionalFormatting sqref="C326:H326">
    <x:cfRule type="expression" dxfId="88" priority="89">
      <x:formula>$C$326="C"</x:formula>
    </x:cfRule>
    <x:cfRule type="expression" dxfId="89" priority="90">
      <x:formula>AND($C$326&lt;&gt;"",$C$326&lt;&gt;"C")</x:formula>
    </x:cfRule>
  </x:conditionalFormatting>
  <x:conditionalFormatting sqref="C328:H329">
    <x:cfRule type="expression" dxfId="90" priority="91">
      <x:formula>LEFT(C328,5)="Верно"</x:formula>
    </x:cfRule>
    <x:cfRule type="expression" dxfId="91" priority="92">
      <x:formula>LEFT(C328,7)="Неверно"</x:formula>
    </x:cfRule>
  </x:conditionalFormatting>
  <x:conditionalFormatting sqref="C340:H340">
    <x:cfRule type="expression" dxfId="92" priority="93">
      <x:formula>$C$340="C,D"</x:formula>
    </x:cfRule>
    <x:cfRule type="expression" dxfId="93" priority="94">
      <x:formula>AND($C$340&lt;&gt;"",$C$340&lt;&gt;"C,D")</x:formula>
    </x:cfRule>
  </x:conditionalFormatting>
  <x:conditionalFormatting sqref="C342:H343">
    <x:cfRule type="expression" dxfId="94" priority="95">
      <x:formula>LEFT(C342,5)="Верно"</x:formula>
    </x:cfRule>
    <x:cfRule type="expression" dxfId="95" priority="96">
      <x:formula>LEFT(C342,7)="Неверно"</x:formula>
    </x:cfRule>
  </x:conditionalFormatting>
  <x:conditionalFormatting sqref="C355:H355">
    <x:cfRule type="expression" dxfId="96" priority="97">
      <x:formula>$C$355="E"</x:formula>
    </x:cfRule>
    <x:cfRule type="expression" dxfId="97" priority="98">
      <x:formula>AND($C$355&lt;&gt;"",$C$355&lt;&gt;"E")</x:formula>
    </x:cfRule>
  </x:conditionalFormatting>
  <x:conditionalFormatting sqref="C357:H358">
    <x:cfRule type="expression" dxfId="98" priority="99">
      <x:formula>LEFT(C357,5)="Верно"</x:formula>
    </x:cfRule>
    <x:cfRule type="expression" dxfId="99" priority="100">
      <x:formula>LEFT(C357,7)="Неверно"</x:formula>
    </x:cfRule>
  </x:conditionalFormatting>
  <x:dataValidations count="25">
    <x:dataValidation type="list" sqref="C14">
      <x:formula1>"A,B,C,D"</x:formula1>
    </x:dataValidation>
    <x:dataValidation type="list" sqref="C28">
      <x:formula1>"A,B,C,D"</x:formula1>
    </x:dataValidation>
    <x:dataValidation type="list" sqref="C42">
      <x:formula1>"A,B,C,D"</x:formula1>
    </x:dataValidation>
    <x:dataValidation type="list" sqref="C56">
      <x:formula1>"A,B,C,D"</x:formula1>
    </x:dataValidation>
    <x:dataValidation type="list" sqref="C70">
      <x:formula1>"A,B,C,D"</x:formula1>
    </x:dataValidation>
    <x:dataValidation type="list" sqref="C84">
      <x:formula1>"A,B,C,D"</x:formula1>
    </x:dataValidation>
    <x:dataValidation type="list" sqref="C98">
      <x:formula1>"A,B,C,D"</x:formula1>
    </x:dataValidation>
    <x:dataValidation type="list" sqref="C112">
      <x:formula1>"A,B,C,D,A,B,A,C,A,D,B,C,B,D,C,D,A,B,C,A,B,D,A,C,D,B,C,D,A,B,C,D"</x:formula1>
    </x:dataValidation>
    <x:dataValidation type="list" sqref="C126">
      <x:formula1>"A,B,C,D"</x:formula1>
    </x:dataValidation>
    <x:dataValidation type="list" sqref="C140">
      <x:formula1>"A,B,C,D,A,B,A,C,A,D,B,C,B,D,C,D,A,B,C,A,B,D,A,C,D,B,C,D,A,B,C,D"</x:formula1>
    </x:dataValidation>
    <x:dataValidation type="list" sqref="C154">
      <x:formula1>"A,B,C,D"</x:formula1>
    </x:dataValidation>
    <x:dataValidation type="list" sqref="C168">
      <x:formula1>"A,B,C,D"</x:formula1>
    </x:dataValidation>
    <x:dataValidation type="list" sqref="C183">
      <x:formula1>"A,B,C,D,E"</x:formula1>
    </x:dataValidation>
    <x:dataValidation type="list" sqref="C197">
      <x:formula1>"A,B,C,D"</x:formula1>
    </x:dataValidation>
    <x:dataValidation type="list" sqref="C211">
      <x:formula1>"A,B,C,D"</x:formula1>
    </x:dataValidation>
    <x:dataValidation type="list" sqref="C225">
      <x:formula1>"A,B,C,D"</x:formula1>
    </x:dataValidation>
    <x:dataValidation type="list" sqref="C239">
      <x:formula1>"A,B,C,D,A,B,A,C,A,D,B,C,B,D,C,D,A,B,C,A,B,D,A,C,D,B,C,D,A,B,C,D"</x:formula1>
    </x:dataValidation>
    <x:dataValidation type="list" sqref="C253">
      <x:formula1>"A,B,C,D,A,B,A,C,A,D,B,C,B,D,C,D,A,B,C,A,B,D,A,C,D,B,C,D,A,B,C,D"</x:formula1>
    </x:dataValidation>
    <x:dataValidation type="list" sqref="C267">
      <x:formula1>"A,B,C,D"</x:formula1>
    </x:dataValidation>
    <x:dataValidation type="list" sqref="C282">
      <x:formula1>"A,B,C,D,E"</x:formula1>
    </x:dataValidation>
    <x:dataValidation type="list" sqref="C297">
      <x:formula1>"A,B,C,D,E"</x:formula1>
    </x:dataValidation>
    <x:dataValidation type="list" sqref="C311">
      <x:formula1>"A,B,C,D"</x:formula1>
    </x:dataValidation>
    <x:dataValidation type="list" sqref="C326">
      <x:formula1>"A,B,C,D,E"</x:formula1>
    </x:dataValidation>
    <x:dataValidation type="list" sqref="C340">
      <x:formula1>"A,B,C,D,A,B,A,C,A,D,B,C,B,D,C,D,A,B,C,A,B,D,A,C,D,B,C,D,A,B,C,D"</x:formula1>
    </x:dataValidation>
    <x:dataValidation type="list" sqref="C355">
      <x:formula1>"A,B,C,D,E"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26" max="26" width="2" hidden="0" customWidth="1"/>
    <x:col min="27" max="27" width="2" hidden="0" customWidth="1"/>
  </x:cols>
  <x:sheetData>
    <x:row r="1" ht="28" customHeight="1">
      <x:c r="A1" s="214" t="str">
        <x:v>Тест ГНВП — вопросы 1–25</x:v>
      </x:c>
      <x:c r="B1" s="214"/>
      <x:c r="C1" s="214"/>
      <x:c r="D1" s="214"/>
      <x:c r="E1" s="214"/>
      <x:c r="F1" s="214"/>
      <x:c r="G1" s="214"/>
      <x:c r="H1" s="214"/>
    </x:row>
    <x:row r="2" ht="28" customHeight="1">
      <x:c r="A2" s="219" t="str">
        <x:v>Выбирайте букву ответа. После выбора сразу появится комментарий.</x:v>
      </x:c>
      <x:c r="B2" s="219"/>
      <x:c r="C2" s="219"/>
      <x:c r="D2" s="219"/>
      <x:c r="E2" s="219"/>
      <x:c r="F2" s="219"/>
      <x:c r="G2" s="219"/>
      <x:c r="H2" s="219"/>
    </x:row>
    <x:row r="3">
      <x:c r="A3" s="223" t="str">
        <x:v>Отвечено</x:v>
      </x:c>
      <x:c r="B3" s="223"/>
      <x:c r="C3" s="224" t="n">
        <x:f>SUM(AA5:AA600)</x:f>
        <x:v>0</x:v>
      </x:c>
      <x:c r="D3" s="223" t="str">
        <x:v>Правильно</x:v>
      </x:c>
      <x:c r="E3" s="223"/>
      <x:c r="F3" s="224" t="n">
        <x:f>SUM(Z5:Z600)</x:f>
        <x:v>0</x:v>
      </x:c>
      <x:c r="G3" s="223" t="str">
        <x:v>Результат</x:v>
      </x:c>
      <x:c r="H3" s="225" t="n">
        <x:f>IF(F3=0,0,F3/25)</x:f>
        <x:v>0</x:v>
      </x:c>
    </x:row>
    <x:row r="4" ht="10" customHeight="1"/>
    <x:row r="5" ht="24" customHeight="1">
      <x:c r="A5" s="228" t="str">
        <x:v>Вопрос 1 из 25</x:v>
      </x:c>
      <x:c r="B5" s="228"/>
      <x:c r="C5" s="228"/>
      <x:c r="D5" s="228"/>
      <x:c r="E5" s="228"/>
      <x:c r="F5" s="228"/>
      <x:c r="G5" s="228"/>
      <x:c r="H5" s="228"/>
    </x:row>
    <x:row r="6" ht="34" customHeight="1">
      <x:c r="A6" s="243" t="str">
        <x:v>Дайте определение понятию «фонтаноопасность» залежи.</x:v>
      </x:c>
      <x:c r="B6" s="244"/>
      <x:c r="C6" s="244"/>
      <x:c r="D6" s="244"/>
      <x:c r="E6" s="244"/>
      <x:c r="F6" s="244"/>
      <x:c r="G6" s="244"/>
      <x:c r="H6" s="245"/>
    </x:row>
    <x:row r="7" ht="34" customHeight="1">
      <x:c r="A7" s="246"/>
      <x:c r="B7" s="247"/>
      <x:c r="C7" s="247"/>
      <x:c r="D7" s="247"/>
      <x:c r="E7" s="247"/>
      <x:c r="F7" s="247"/>
      <x:c r="G7" s="247"/>
      <x:c r="H7" s="248"/>
    </x:row>
    <x:row r="8" ht="8" customHeight="1"/>
    <x:row r="9" ht="38" customHeight="1">
      <x:c r="A9" s="253" t="str">
        <x:v>A</x:v>
      </x:c>
      <x:c r="B9" s="99" t="str">
        <x:v>Потенциальная возможность создать при ее разбуривании условия неуправляемого поступления флюида в ствол скважины, интенсивного развития ГНВП с последующим переходом его в открытое фонтанирование и оказывать воздействие на окружающую среду при возникновении фонтана.</x:v>
      </x:c>
      <x:c r="C9" s="100"/>
      <x:c r="D9" s="100"/>
      <x:c r="E9" s="100"/>
      <x:c r="F9" s="100"/>
      <x:c r="G9" s="100"/>
      <x:c r="H9" s="101"/>
    </x:row>
    <x:row r="10" ht="38" customHeight="1">
      <x:c r="A10" s="253" t="str">
        <x:v>B</x:v>
      </x:c>
      <x:c r="B10" s="99" t="str">
        <x:v>Потенциальная возможность создать при ее разбуривании условия поступления флюида в ствол скважины, интенсивного развития ГНВП с последующим переходом его в открытое фонтанирование.</x:v>
      </x:c>
      <x:c r="C10" s="100"/>
      <x:c r="D10" s="100"/>
      <x:c r="E10" s="100"/>
      <x:c r="F10" s="100"/>
      <x:c r="G10" s="100"/>
      <x:c r="H10" s="101"/>
    </x:row>
    <x:row r="11" ht="8" customHeight="1"/>
    <x:row r="12" ht="28" customHeight="1">
      <x:c r="A12" s="258" t="str">
        <x:v>Ваш ответ:</x:v>
      </x:c>
      <x:c r="B12" s="259"/>
      <x:c r="C12" s="268" t="str"/>
      <x:c r="D12" s="269"/>
      <x:c r="E12" s="269"/>
      <x:c r="F12" s="269"/>
      <x:c r="G12" s="269"/>
      <x:c r="H12" s="270"/>
      <x:c r="Z12" t="n">
        <x:f>IF(C12="",0,IF(C12="A",1,0))</x:f>
        <x:v>0</x:v>
      </x:c>
      <x:c r="AA12" t="n">
        <x:f>IF(C12="",0,1)</x:f>
        <x:v>0</x:v>
      </x:c>
    </x:row>
    <x:row r="13" ht="8" customHeight="1"/>
    <x:row r="14" ht="30" customHeight="1">
      <x:c r="A14" s="343" t="str">
        <x:v>Комментарий:</x:v>
      </x:c>
      <x:c r="B14" s="344"/>
      <x:c r="C14" s="176" t="str">
        <x:f>IF(C12="","Выберите ответ.",IF(C12="A","Верно. Это полная формулировка определения, принятого в исходном тесте.",IF(C12="B","Неверно. Формулировка неполная либо описывает другой процесс. Правильный вариант: A.","Неверно. Ответ не распознан. Правильный вариант: A.")))</x:f>
        <x:v>Выберите ответ.</x:v>
      </x:c>
      <x:c r="D14" s="177"/>
      <x:c r="E14" s="177"/>
      <x:c r="F14" s="177"/>
      <x:c r="G14" s="177"/>
      <x:c r="H14" s="178"/>
    </x:row>
    <x:row r="15" ht="30" customHeight="1">
      <x:c r="A15" s="345"/>
      <x:c r="B15" s="346"/>
      <x:c r="C15" s="179"/>
      <x:c r="D15" s="180"/>
      <x:c r="E15" s="180"/>
      <x:c r="F15" s="180"/>
      <x:c r="G15" s="180"/>
      <x:c r="H15" s="181"/>
    </x:row>
    <x:row r="17" ht="24" customHeight="1">
      <x:c r="A17" s="228" t="str">
        <x:v>Вопрос 2 из 25</x:v>
      </x:c>
      <x:c r="B17" s="228"/>
      <x:c r="C17" s="228"/>
      <x:c r="D17" s="228"/>
      <x:c r="E17" s="228"/>
      <x:c r="F17" s="228"/>
      <x:c r="G17" s="228"/>
      <x:c r="H17" s="228"/>
    </x:row>
    <x:row r="18" ht="34" customHeight="1">
      <x:c r="A18" s="243" t="str">
        <x:v>Дайте определение понятию «открытое фонтанирование».</x:v>
      </x:c>
      <x:c r="B18" s="244"/>
      <x:c r="C18" s="244"/>
      <x:c r="D18" s="244"/>
      <x:c r="E18" s="244"/>
      <x:c r="F18" s="244"/>
      <x:c r="G18" s="244"/>
      <x:c r="H18" s="245"/>
    </x:row>
    <x:row r="19" ht="34" customHeight="1">
      <x:c r="A19" s="246"/>
      <x:c r="B19" s="247"/>
      <x:c r="C19" s="247"/>
      <x:c r="D19" s="247"/>
      <x:c r="E19" s="247"/>
      <x:c r="F19" s="247"/>
      <x:c r="G19" s="247"/>
      <x:c r="H19" s="248"/>
    </x:row>
    <x:row r="20" ht="8" customHeight="1"/>
    <x:row r="21" ht="38" customHeight="1">
      <x:c r="A21" s="253" t="str">
        <x:v>A</x:v>
      </x:c>
      <x:c r="B21" s="99" t="str">
        <x:v>Истечение пластовых флюидов через устье скважины в результате отсутствия, разрушения или негерметичности запорного оборудования или вследствие грифонообразования.</x:v>
      </x:c>
      <x:c r="C21" s="100"/>
      <x:c r="D21" s="100"/>
      <x:c r="E21" s="100"/>
      <x:c r="F21" s="100"/>
      <x:c r="G21" s="100"/>
      <x:c r="H21" s="101"/>
    </x:row>
    <x:row r="22" ht="38" customHeight="1">
      <x:c r="A22" s="253" t="str">
        <x:v>B</x:v>
      </x:c>
      <x:c r="B22" s="99" t="str">
        <x:v>Неуправляемое истечение пластовых флюидов через устье скважины в результате отсутствия, разрушения или негерметичности запорного оборудования или вследствие грифонообразования.</x:v>
      </x:c>
      <x:c r="C22" s="100"/>
      <x:c r="D22" s="100"/>
      <x:c r="E22" s="100"/>
      <x:c r="F22" s="100"/>
      <x:c r="G22" s="100"/>
      <x:c r="H22" s="101"/>
    </x:row>
    <x:row r="23" ht="38" customHeight="1">
      <x:c r="A23" s="253" t="str">
        <x:v>C</x:v>
      </x:c>
      <x:c r="B23" s="99" t="str">
        <x:v>Неуправляемое истечение пластовых флюидов через устье скважины в результате отсутствия, разрушения или негерметичности запорного оборудования.</x:v>
      </x:c>
      <x:c r="C23" s="100"/>
      <x:c r="D23" s="100"/>
      <x:c r="E23" s="100"/>
      <x:c r="F23" s="100"/>
      <x:c r="G23" s="100"/>
      <x:c r="H23" s="101"/>
    </x:row>
    <x:row r="24" ht="8" customHeight="1"/>
    <x:row r="25" ht="28" customHeight="1">
      <x:c r="A25" s="258" t="str">
        <x:v>Ваш ответ:</x:v>
      </x:c>
      <x:c r="B25" s="259"/>
      <x:c r="C25" s="268"/>
      <x:c r="D25" s="269"/>
      <x:c r="E25" s="269"/>
      <x:c r="F25" s="269"/>
      <x:c r="G25" s="269"/>
      <x:c r="H25" s="270"/>
      <x:c r="Z25" t="n">
        <x:f>IF(C25="",0,IF(C25="B",1,0))</x:f>
        <x:v>0</x:v>
      </x:c>
      <x:c r="AA25" t="n">
        <x:f>IF(C25="",0,1)</x:f>
        <x:v>0</x:v>
      </x:c>
    </x:row>
    <x:row r="26" ht="8" customHeight="1"/>
    <x:row r="27" ht="30" customHeight="1">
      <x:c r="A27" s="343" t="str">
        <x:v>Комментарий:</x:v>
      </x:c>
      <x:c r="B27" s="344"/>
      <x:c r="C27" s="176" t="str">
        <x:f>IF(C25="","Выберите ответ.",IF(C25="A","Неверно. Формулировка неполная: пропущена часть обязательных признаков. Правильный вариант: B.",IF(C25="B","Верно. Это полная формулировка определения, принятого в исходном тесте.",IF(C25="C","Неверно. Формулировка неполная либо описывает другой процесс. Правильный вариант: B.","Неверно. Ответ не распознан. Правильный вариант: B."))))</x:f>
        <x:v>Выберите ответ.</x:v>
      </x:c>
      <x:c r="D27" s="177"/>
      <x:c r="E27" s="177"/>
      <x:c r="F27" s="177"/>
      <x:c r="G27" s="177"/>
      <x:c r="H27" s="178"/>
    </x:row>
    <x:row r="28" ht="30" customHeight="1">
      <x:c r="A28" s="345"/>
      <x:c r="B28" s="346"/>
      <x:c r="C28" s="179"/>
      <x:c r="D28" s="180"/>
      <x:c r="E28" s="180"/>
      <x:c r="F28" s="180"/>
      <x:c r="G28" s="180"/>
      <x:c r="H28" s="181"/>
    </x:row>
    <x:row r="30" ht="24" customHeight="1">
      <x:c r="A30" s="228" t="str">
        <x:v>Вопрос 3 из 25</x:v>
      </x:c>
      <x:c r="B30" s="228"/>
      <x:c r="C30" s="228"/>
      <x:c r="D30" s="228"/>
      <x:c r="E30" s="228"/>
      <x:c r="F30" s="228"/>
      <x:c r="G30" s="228"/>
      <x:c r="H30" s="228"/>
    </x:row>
    <x:row r="31" ht="34" customHeight="1">
      <x:c r="A31" s="243" t="str">
        <x:v>Какое условие должно соблюдаться для гидродинамического давления при спуске колонны труб?</x:v>
      </x:c>
      <x:c r="B31" s="244"/>
      <x:c r="C31" s="244"/>
      <x:c r="D31" s="244"/>
      <x:c r="E31" s="244"/>
      <x:c r="F31" s="244"/>
      <x:c r="G31" s="244"/>
      <x:c r="H31" s="245"/>
    </x:row>
    <x:row r="32" ht="34" customHeight="1">
      <x:c r="A32" s="246"/>
      <x:c r="B32" s="247"/>
      <x:c r="C32" s="247"/>
      <x:c r="D32" s="247"/>
      <x:c r="E32" s="247"/>
      <x:c r="F32" s="247"/>
      <x:c r="G32" s="247"/>
      <x:c r="H32" s="248"/>
    </x:row>
    <x:row r="33" ht="8" customHeight="1"/>
    <x:row r="34" ht="24" customHeight="1">
      <x:c r="A34" s="253" t="str">
        <x:v>A</x:v>
      </x:c>
      <x:c r="B34" s="99" t="str">
        <x:v>ΔP ≤ 0,75·(Ргрп - ρ·g·H)</x:v>
      </x:c>
      <x:c r="C34" s="100"/>
      <x:c r="D34" s="100"/>
      <x:c r="E34" s="100"/>
      <x:c r="F34" s="100"/>
      <x:c r="G34" s="100"/>
      <x:c r="H34" s="101"/>
    </x:row>
    <x:row r="35" ht="24" customHeight="1">
      <x:c r="A35" s="253" t="str">
        <x:v>B</x:v>
      </x:c>
      <x:c r="B35" s="99" t="str">
        <x:v>ΔP ≥ 0,75·(Ргрп - ρ·g·H)</x:v>
      </x:c>
      <x:c r="C35" s="100"/>
      <x:c r="D35" s="100"/>
      <x:c r="E35" s="100"/>
      <x:c r="F35" s="100"/>
      <x:c r="G35" s="100"/>
      <x:c r="H35" s="101"/>
    </x:row>
    <x:row r="36" ht="24" customHeight="1">
      <x:c r="A36" s="253" t="str">
        <x:v>C</x:v>
      </x:c>
      <x:c r="B36" s="99" t="str">
        <x:v>ΔP ≤ 0,75·(ρ·g·H - Рпл)</x:v>
      </x:c>
      <x:c r="C36" s="100"/>
      <x:c r="D36" s="100"/>
      <x:c r="E36" s="100"/>
      <x:c r="F36" s="100"/>
      <x:c r="G36" s="100"/>
      <x:c r="H36" s="101"/>
    </x:row>
    <x:row r="37" ht="8" customHeight="1"/>
    <x:row r="38" ht="28" customHeight="1">
      <x:c r="A38" s="258" t="str">
        <x:v>Ваш ответ:</x:v>
      </x:c>
      <x:c r="B38" s="259"/>
      <x:c r="C38" s="268"/>
      <x:c r="D38" s="269"/>
      <x:c r="E38" s="269"/>
      <x:c r="F38" s="269"/>
      <x:c r="G38" s="269"/>
      <x:c r="H38" s="270"/>
      <x:c r="Z38" t="n">
        <x:f>IF(C38="",0,IF(C38="A",1,0))</x:f>
        <x:v>0</x:v>
      </x:c>
      <x:c r="AA38" t="n">
        <x:f>IF(C38="",0,1)</x:f>
        <x:v>0</x:v>
      </x:c>
    </x:row>
    <x:row r="39" ht="8" customHeight="1"/>
    <x:row r="40" ht="30" customHeight="1">
      <x:c r="A40" s="343" t="str">
        <x:v>Комментарий:</x:v>
      </x:c>
      <x:c r="B40" s="344"/>
      <x:c r="C40" s="176" t="str">
        <x:f>IF(C38="","Выберите ответ.",IF(C38="A","Верно. Условие и знак соотношения соответствуют ключу теста.",IF(C38="B","Неверно. Условие или знак соотношения не соответствует ключу теста. Правильный вариант: A.",IF(C38="C","Неверно. Условие или знак соотношения не соответствует ключу теста. Правильный вариант: A.","Неверно. Ответ не распознан. Правильный вариант: A."))))</x:f>
        <x:v>Выберите ответ.</x:v>
      </x:c>
      <x:c r="D40" s="177"/>
      <x:c r="E40" s="177"/>
      <x:c r="F40" s="177"/>
      <x:c r="G40" s="177"/>
      <x:c r="H40" s="178"/>
    </x:row>
    <x:row r="41" ht="30" customHeight="1">
      <x:c r="A41" s="345"/>
      <x:c r="B41" s="346"/>
      <x:c r="C41" s="179"/>
      <x:c r="D41" s="180"/>
      <x:c r="E41" s="180"/>
      <x:c r="F41" s="180"/>
      <x:c r="G41" s="180"/>
      <x:c r="H41" s="181"/>
    </x:row>
    <x:row r="43" ht="24" customHeight="1">
      <x:c r="A43" s="228" t="str">
        <x:v>Вопрос 4 из 25</x:v>
      </x:c>
      <x:c r="B43" s="228"/>
      <x:c r="C43" s="228"/>
      <x:c r="D43" s="228"/>
      <x:c r="E43" s="228"/>
      <x:c r="F43" s="228"/>
      <x:c r="G43" s="228"/>
      <x:c r="H43" s="228"/>
    </x:row>
    <x:row r="44" ht="34" customHeight="1">
      <x:c r="A44" s="243" t="str">
        <x:v>Главное условие возникновения газопроявления при бурении или ремонте скважин:</x:v>
      </x:c>
      <x:c r="B44" s="244"/>
      <x:c r="C44" s="244"/>
      <x:c r="D44" s="244"/>
      <x:c r="E44" s="244"/>
      <x:c r="F44" s="244"/>
      <x:c r="G44" s="244"/>
      <x:c r="H44" s="245"/>
    </x:row>
    <x:row r="45" ht="34" customHeight="1">
      <x:c r="A45" s="246"/>
      <x:c r="B45" s="247"/>
      <x:c r="C45" s="247"/>
      <x:c r="D45" s="247"/>
      <x:c r="E45" s="247"/>
      <x:c r="F45" s="247"/>
      <x:c r="G45" s="247"/>
      <x:c r="H45" s="248"/>
    </x:row>
    <x:row r="46" ht="8" customHeight="1"/>
    <x:row r="47" ht="24" customHeight="1">
      <x:c r="A47" s="253" t="str">
        <x:v>A</x:v>
      </x:c>
      <x:c r="B47" s="99" t="str">
        <x:v>Пластовое давление больше забойного.</x:v>
      </x:c>
      <x:c r="C47" s="100"/>
      <x:c r="D47" s="100"/>
      <x:c r="E47" s="100"/>
      <x:c r="F47" s="100"/>
      <x:c r="G47" s="100"/>
      <x:c r="H47" s="101"/>
    </x:row>
    <x:row r="48" ht="24" customHeight="1">
      <x:c r="A48" s="253" t="str">
        <x:v>B</x:v>
      </x:c>
      <x:c r="B48" s="99" t="str">
        <x:v>Забойное давление больше пластового.</x:v>
      </x:c>
      <x:c r="C48" s="100"/>
      <x:c r="D48" s="100"/>
      <x:c r="E48" s="100"/>
      <x:c r="F48" s="100"/>
      <x:c r="G48" s="100"/>
      <x:c r="H48" s="101"/>
    </x:row>
    <x:row r="49" ht="24" customHeight="1">
      <x:c r="A49" s="253" t="str">
        <x:v>C</x:v>
      </x:c>
      <x:c r="B49" s="99" t="str">
        <x:v>Забойное давление равно пластовому.</x:v>
      </x:c>
      <x:c r="C49" s="100"/>
      <x:c r="D49" s="100"/>
      <x:c r="E49" s="100"/>
      <x:c r="F49" s="100"/>
      <x:c r="G49" s="100"/>
      <x:c r="H49" s="101"/>
    </x:row>
    <x:row r="50" ht="8" customHeight="1"/>
    <x:row r="51" ht="28" customHeight="1">
      <x:c r="A51" s="258" t="str">
        <x:v>Ваш ответ:</x:v>
      </x:c>
      <x:c r="B51" s="259"/>
      <x:c r="C51" s="268"/>
      <x:c r="D51" s="269"/>
      <x:c r="E51" s="269"/>
      <x:c r="F51" s="269"/>
      <x:c r="G51" s="269"/>
      <x:c r="H51" s="270"/>
      <x:c r="Z51" t="n">
        <x:f>IF(C51="",0,IF(C51="A",1,0))</x:f>
        <x:v>0</x:v>
      </x:c>
      <x:c r="AA51" t="n">
        <x:f>IF(C51="",0,1)</x:f>
        <x:v>0</x:v>
      </x:c>
    </x:row>
    <x:row r="52" ht="8" customHeight="1"/>
    <x:row r="53" ht="30" customHeight="1">
      <x:c r="A53" s="343" t="str">
        <x:v>Комментарий:</x:v>
      </x:c>
      <x:c r="B53" s="344"/>
      <x:c r="C53" s="176" t="str">
        <x:f>IF(C51="","Выберите ответ.",IF(C51="A","Верно. Этот вариант соответствует ключу исходного теста.",IF(C51="B","Неверно. Этот вариант не соответствует ключу исходного теста. Правильный вариант: A.",IF(C51="C","Неверно. Этот вариант не соответствует ключу исходного теста. Правильный вариант: A.","Неверно. Ответ не распознан. Правильный вариант: A."))))</x:f>
        <x:v>Выберите ответ.</x:v>
      </x:c>
      <x:c r="D53" s="177"/>
      <x:c r="E53" s="177"/>
      <x:c r="F53" s="177"/>
      <x:c r="G53" s="177"/>
      <x:c r="H53" s="178"/>
    </x:row>
    <x:row r="54" ht="30" customHeight="1">
      <x:c r="A54" s="345"/>
      <x:c r="B54" s="346"/>
      <x:c r="C54" s="179"/>
      <x:c r="D54" s="180"/>
      <x:c r="E54" s="180"/>
      <x:c r="F54" s="180"/>
      <x:c r="G54" s="180"/>
      <x:c r="H54" s="181"/>
    </x:row>
    <x:row r="56" ht="24" customHeight="1">
      <x:c r="A56" s="228" t="str">
        <x:v>Вопрос 5 из 25</x:v>
      </x:c>
      <x:c r="B56" s="228"/>
      <x:c r="C56" s="228"/>
      <x:c r="D56" s="228"/>
      <x:c r="E56" s="228"/>
      <x:c r="F56" s="228"/>
      <x:c r="G56" s="228"/>
      <x:c r="H56" s="228"/>
    </x:row>
    <x:row r="57" ht="62" customHeight="1">
      <x:c r="A57" s="243" t="str">
        <x:v>Каковы первоочередные действия бурильщика при обнаружении признаков поступления пластового флюида в скважину (перелив бурового раствора, увеличение его объема в емкостях, несоответствие расчетного и фактического объемов доливаемого (вытесняемого) раствора при СПО)?</x:v>
      </x:c>
      <x:c r="B57" s="244"/>
      <x:c r="C57" s="244"/>
      <x:c r="D57" s="244"/>
      <x:c r="E57" s="244"/>
      <x:c r="F57" s="244"/>
      <x:c r="G57" s="244"/>
      <x:c r="H57" s="245"/>
    </x:row>
    <x:row r="58" ht="62" customHeight="1">
      <x:c r="A58" s="246"/>
      <x:c r="B58" s="247"/>
      <x:c r="C58" s="247"/>
      <x:c r="D58" s="247"/>
      <x:c r="E58" s="247"/>
      <x:c r="F58" s="247"/>
      <x:c r="G58" s="247"/>
      <x:c r="H58" s="248"/>
    </x:row>
    <x:row r="59" ht="8" customHeight="1"/>
    <x:row r="60" ht="24" customHeight="1">
      <x:c r="A60" s="253" t="str">
        <x:v>A</x:v>
      </x:c>
      <x:c r="B60" s="99" t="str">
        <x:v>Подача сигнала «Выброс».</x:v>
      </x:c>
      <x:c r="C60" s="100"/>
      <x:c r="D60" s="100"/>
      <x:c r="E60" s="100"/>
      <x:c r="F60" s="100"/>
      <x:c r="G60" s="100"/>
      <x:c r="H60" s="101"/>
    </x:row>
    <x:row r="61" ht="24" customHeight="1">
      <x:c r="A61" s="253" t="str">
        <x:v>B</x:v>
      </x:c>
      <x:c r="B61" s="99" t="str">
        <x:v>Увеличение производительности бурового насоса для вымыва газовой пачки.</x:v>
      </x:c>
      <x:c r="C61" s="100"/>
      <x:c r="D61" s="100"/>
      <x:c r="E61" s="100"/>
      <x:c r="F61" s="100"/>
      <x:c r="G61" s="100"/>
      <x:c r="H61" s="101"/>
    </x:row>
    <x:row r="62" ht="24" customHeight="1">
      <x:c r="A62" s="253" t="str">
        <x:v>C</x:v>
      </x:c>
      <x:c r="B62" s="99" t="str">
        <x:v>Увеличение плотности бурового раствора.</x:v>
      </x:c>
      <x:c r="C62" s="100"/>
      <x:c r="D62" s="100"/>
      <x:c r="E62" s="100"/>
      <x:c r="F62" s="100"/>
      <x:c r="G62" s="100"/>
      <x:c r="H62" s="101"/>
    </x:row>
    <x:row r="63" ht="8" customHeight="1"/>
    <x:row r="64" ht="28" customHeight="1">
      <x:c r="A64" s="258" t="str">
        <x:v>Ваш ответ:</x:v>
      </x:c>
      <x:c r="B64" s="259"/>
      <x:c r="C64" s="268"/>
      <x:c r="D64" s="269"/>
      <x:c r="E64" s="269"/>
      <x:c r="F64" s="269"/>
      <x:c r="G64" s="269"/>
      <x:c r="H64" s="270"/>
      <x:c r="Z64" t="n">
        <x:f>IF(C64="",0,IF(C64="A",1,0))</x:f>
        <x:v>0</x:v>
      </x:c>
      <x:c r="AA64" t="n">
        <x:f>IF(C64="",0,1)</x:f>
        <x:v>0</x:v>
      </x:c>
    </x:row>
    <x:row r="65" ht="8" customHeight="1"/>
    <x:row r="66" ht="30" customHeight="1">
      <x:c r="A66" s="343" t="str">
        <x:v>Комментарий:</x:v>
      </x:c>
      <x:c r="B66" s="344"/>
      <x:c r="C66" s="176" t="str">
        <x:f>IF(C64="","Выберите ответ.",IF(C64="A","Верно. Выбранное действие соответствует алгоритму, принятому в исходном тесте.",IF(C64="B","Неверно. Это действие не соответствует требуемому алгоритму. Правильный вариант: A.",IF(C64="C","Неверно. Это действие не соответствует требуемому алгоритму. Правильный вариант: A.","Неверно. Ответ не распознан. Правильный вариант: A."))))</x:f>
        <x:v>Выберите ответ.</x:v>
      </x:c>
      <x:c r="D66" s="177"/>
      <x:c r="E66" s="177"/>
      <x:c r="F66" s="177"/>
      <x:c r="G66" s="177"/>
      <x:c r="H66" s="178"/>
    </x:row>
    <x:row r="67" ht="30" customHeight="1">
      <x:c r="A67" s="345"/>
      <x:c r="B67" s="346"/>
      <x:c r="C67" s="179"/>
      <x:c r="D67" s="180"/>
      <x:c r="E67" s="180"/>
      <x:c r="F67" s="180"/>
      <x:c r="G67" s="180"/>
      <x:c r="H67" s="181"/>
    </x:row>
    <x:row r="69" ht="24" customHeight="1">
      <x:c r="A69" s="228" t="str">
        <x:v>Вопрос 6 из 25</x:v>
      </x:c>
      <x:c r="B69" s="228"/>
      <x:c r="C69" s="228"/>
      <x:c r="D69" s="228"/>
      <x:c r="E69" s="228"/>
      <x:c r="F69" s="228"/>
      <x:c r="G69" s="228"/>
      <x:c r="H69" s="228"/>
    </x:row>
    <x:row r="70" ht="48" customHeight="1">
      <x:c r="A70" s="243" t="str">
        <x:v>Укажите режим работы нефтяной (газонефтяной) залежи, при котором основным видом энергии, продвигающей флюиды по пласту, является напор пластовых вод.</x:v>
      </x:c>
      <x:c r="B70" s="244"/>
      <x:c r="C70" s="244"/>
      <x:c r="D70" s="244"/>
      <x:c r="E70" s="244"/>
      <x:c r="F70" s="244"/>
      <x:c r="G70" s="244"/>
      <x:c r="H70" s="245"/>
    </x:row>
    <x:row r="71" ht="48" customHeight="1">
      <x:c r="A71" s="246"/>
      <x:c r="B71" s="247"/>
      <x:c r="C71" s="247"/>
      <x:c r="D71" s="247"/>
      <x:c r="E71" s="247"/>
      <x:c r="F71" s="247"/>
      <x:c r="G71" s="247"/>
      <x:c r="H71" s="248"/>
    </x:row>
    <x:row r="72" ht="8" customHeight="1"/>
    <x:row r="73" ht="24" customHeight="1">
      <x:c r="A73" s="253" t="str">
        <x:v>A</x:v>
      </x:c>
      <x:c r="B73" s="99" t="str">
        <x:v>Жесткий водонапорный режим.</x:v>
      </x:c>
      <x:c r="C73" s="100"/>
      <x:c r="D73" s="100"/>
      <x:c r="E73" s="100"/>
      <x:c r="F73" s="100"/>
      <x:c r="G73" s="100"/>
      <x:c r="H73" s="101"/>
    </x:row>
    <x:row r="74" ht="24" customHeight="1">
      <x:c r="A74" s="253" t="str">
        <x:v>B</x:v>
      </x:c>
      <x:c r="B74" s="99" t="str">
        <x:v>Упруго-водонапорный режим.</x:v>
      </x:c>
      <x:c r="C74" s="100"/>
      <x:c r="D74" s="100"/>
      <x:c r="E74" s="100"/>
      <x:c r="F74" s="100"/>
      <x:c r="G74" s="100"/>
      <x:c r="H74" s="101"/>
    </x:row>
    <x:row r="75" ht="24" customHeight="1">
      <x:c r="A75" s="253" t="str">
        <x:v>C</x:v>
      </x:c>
      <x:c r="B75" s="99" t="str">
        <x:v>Режим газовой шапки.</x:v>
      </x:c>
      <x:c r="C75" s="100"/>
      <x:c r="D75" s="100"/>
      <x:c r="E75" s="100"/>
      <x:c r="F75" s="100"/>
      <x:c r="G75" s="100"/>
      <x:c r="H75" s="101"/>
    </x:row>
    <x:row r="76" ht="24" customHeight="1">
      <x:c r="A76" s="253" t="str">
        <x:v>D</x:v>
      </x:c>
      <x:c r="B76" s="99" t="str">
        <x:v>Режим растворенного газа.</x:v>
      </x:c>
      <x:c r="C76" s="100"/>
      <x:c r="D76" s="100"/>
      <x:c r="E76" s="100"/>
      <x:c r="F76" s="100"/>
      <x:c r="G76" s="100"/>
      <x:c r="H76" s="101"/>
    </x:row>
    <x:row r="77" ht="24" customHeight="1">
      <x:c r="A77" s="253" t="str">
        <x:v>E</x:v>
      </x:c>
      <x:c r="B77" s="99" t="str">
        <x:v>Упругий режим.</x:v>
      </x:c>
      <x:c r="C77" s="100"/>
      <x:c r="D77" s="100"/>
      <x:c r="E77" s="100"/>
      <x:c r="F77" s="100"/>
      <x:c r="G77" s="100"/>
      <x:c r="H77" s="101"/>
    </x:row>
    <x:row r="78" ht="24" customHeight="1">
      <x:c r="A78" s="253" t="str">
        <x:v>F</x:v>
      </x:c>
      <x:c r="B78" s="99" t="str">
        <x:v>Гравитационный режим.</x:v>
      </x:c>
      <x:c r="C78" s="100"/>
      <x:c r="D78" s="100"/>
      <x:c r="E78" s="100"/>
      <x:c r="F78" s="100"/>
      <x:c r="G78" s="100"/>
      <x:c r="H78" s="101"/>
    </x:row>
    <x:row r="79" ht="8" customHeight="1"/>
    <x:row r="80" ht="28" customHeight="1">
      <x:c r="A80" s="258" t="str">
        <x:v>Ваш ответ:</x:v>
      </x:c>
      <x:c r="B80" s="259"/>
      <x:c r="C80" s="268"/>
      <x:c r="D80" s="269"/>
      <x:c r="E80" s="269"/>
      <x:c r="F80" s="269"/>
      <x:c r="G80" s="269"/>
      <x:c r="H80" s="270"/>
      <x:c r="Z80" t="n">
        <x:f>IF(C80="",0,IF(C80="A",1,0))</x:f>
        <x:v>0</x:v>
      </x:c>
      <x:c r="AA80" t="n">
        <x:f>IF(C80="",0,1)</x:f>
        <x:v>0</x:v>
      </x:c>
    </x:row>
    <x:row r="81" ht="8" customHeight="1"/>
    <x:row r="82" ht="30" customHeight="1">
      <x:c r="A82" s="343" t="str">
        <x:v>Комментарий:</x:v>
      </x:c>
      <x:c r="B82" s="344"/>
      <x:c r="C82" s="176" t="str">
        <x:f>IF(C80="","Выберите ответ.",IF(C80="A","Верно. Описанный в вопросе источник пластовой энергии соответствует этому режиму.",IF(C80="B","Неверно. Назван другой режим залежи; источник энергии из условия ему не соответствует. Правильный вариант: A.",IF(C80="C","Неверно. Назван другой режим залежи; источник энергии из условия ему не соответствует. Правильный вариант: A.",IF(C80="D","Неверно. Назван другой режим залежи; источник энергии из условия ему не соответствует. Правильный вариант: A.",IF(C80="E","Неверно. Назван другой режим залежи; источник энергии из условия ему не соответствует. Правильный вариант: A.",IF(C80="F","Неверно. Назван другой режим залежи; источник энергии из условия ему не соответствует. Правильный вариант: A.","Неверно. Ответ не распознан. Правильный вариант: A.")))))))</x:f>
        <x:v>Выберите ответ.</x:v>
      </x:c>
      <x:c r="D82" s="177"/>
      <x:c r="E82" s="177"/>
      <x:c r="F82" s="177"/>
      <x:c r="G82" s="177"/>
      <x:c r="H82" s="178"/>
    </x:row>
    <x:row r="83" ht="30" customHeight="1">
      <x:c r="A83" s="345"/>
      <x:c r="B83" s="346"/>
      <x:c r="C83" s="179"/>
      <x:c r="D83" s="180"/>
      <x:c r="E83" s="180"/>
      <x:c r="F83" s="180"/>
      <x:c r="G83" s="180"/>
      <x:c r="H83" s="181"/>
    </x:row>
    <x:row r="85" ht="24" customHeight="1">
      <x:c r="A85" s="228" t="str">
        <x:v>Вопрос 7 из 25</x:v>
      </x:c>
      <x:c r="B85" s="228"/>
      <x:c r="C85" s="228"/>
      <x:c r="D85" s="228"/>
      <x:c r="E85" s="228"/>
      <x:c r="F85" s="228"/>
      <x:c r="G85" s="228"/>
      <x:c r="H85" s="228"/>
    </x:row>
    <x:row r="86" ht="48" customHeight="1">
      <x:c r="A86" s="243" t="str">
        <x:v>Укажите режим работы нефтяной (газонефтяной) залежи, при котором основным видом энергии, продвигающей флюиды по пласту, является упругость жидкости, газа и породы, а также поступающих в залежь пластовых вод.</x:v>
      </x:c>
      <x:c r="B86" s="244"/>
      <x:c r="C86" s="244"/>
      <x:c r="D86" s="244"/>
      <x:c r="E86" s="244"/>
      <x:c r="F86" s="244"/>
      <x:c r="G86" s="244"/>
      <x:c r="H86" s="245"/>
    </x:row>
    <x:row r="87" ht="48" customHeight="1">
      <x:c r="A87" s="246"/>
      <x:c r="B87" s="247"/>
      <x:c r="C87" s="247"/>
      <x:c r="D87" s="247"/>
      <x:c r="E87" s="247"/>
      <x:c r="F87" s="247"/>
      <x:c r="G87" s="247"/>
      <x:c r="H87" s="248"/>
    </x:row>
    <x:row r="88" ht="8" customHeight="1"/>
    <x:row r="89" ht="24" customHeight="1">
      <x:c r="A89" s="253" t="str">
        <x:v>A</x:v>
      </x:c>
      <x:c r="B89" s="99" t="str">
        <x:v>Жесткий водонапорный режим.</x:v>
      </x:c>
      <x:c r="C89" s="100"/>
      <x:c r="D89" s="100"/>
      <x:c r="E89" s="100"/>
      <x:c r="F89" s="100"/>
      <x:c r="G89" s="100"/>
      <x:c r="H89" s="101"/>
    </x:row>
    <x:row r="90" ht="24" customHeight="1">
      <x:c r="A90" s="253" t="str">
        <x:v>B</x:v>
      </x:c>
      <x:c r="B90" s="99" t="str">
        <x:v>Упруго-водонапорный режим.</x:v>
      </x:c>
      <x:c r="C90" s="100"/>
      <x:c r="D90" s="100"/>
      <x:c r="E90" s="100"/>
      <x:c r="F90" s="100"/>
      <x:c r="G90" s="100"/>
      <x:c r="H90" s="101"/>
    </x:row>
    <x:row r="91" ht="24" customHeight="1">
      <x:c r="A91" s="253" t="str">
        <x:v>C</x:v>
      </x:c>
      <x:c r="B91" s="99" t="str">
        <x:v>Режим газовой шапки.</x:v>
      </x:c>
      <x:c r="C91" s="100"/>
      <x:c r="D91" s="100"/>
      <x:c r="E91" s="100"/>
      <x:c r="F91" s="100"/>
      <x:c r="G91" s="100"/>
      <x:c r="H91" s="101"/>
    </x:row>
    <x:row r="92" ht="24" customHeight="1">
      <x:c r="A92" s="253" t="str">
        <x:v>D</x:v>
      </x:c>
      <x:c r="B92" s="99" t="str">
        <x:v>Режим растворенного газа.</x:v>
      </x:c>
      <x:c r="C92" s="100"/>
      <x:c r="D92" s="100"/>
      <x:c r="E92" s="100"/>
      <x:c r="F92" s="100"/>
      <x:c r="G92" s="100"/>
      <x:c r="H92" s="101"/>
    </x:row>
    <x:row r="93" ht="24" customHeight="1">
      <x:c r="A93" s="253" t="str">
        <x:v>E</x:v>
      </x:c>
      <x:c r="B93" s="99" t="str">
        <x:v>Упругий режим.</x:v>
      </x:c>
      <x:c r="C93" s="100"/>
      <x:c r="D93" s="100"/>
      <x:c r="E93" s="100"/>
      <x:c r="F93" s="100"/>
      <x:c r="G93" s="100"/>
      <x:c r="H93" s="101"/>
    </x:row>
    <x:row r="94" ht="24" customHeight="1">
      <x:c r="A94" s="253" t="str">
        <x:v>F</x:v>
      </x:c>
      <x:c r="B94" s="99" t="str">
        <x:v>Гравитационный режим.</x:v>
      </x:c>
      <x:c r="C94" s="100"/>
      <x:c r="D94" s="100"/>
      <x:c r="E94" s="100"/>
      <x:c r="F94" s="100"/>
      <x:c r="G94" s="100"/>
      <x:c r="H94" s="101"/>
    </x:row>
    <x:row r="95" ht="8" customHeight="1"/>
    <x:row r="96" ht="28" customHeight="1">
      <x:c r="A96" s="258" t="str">
        <x:v>Ваш ответ:</x:v>
      </x:c>
      <x:c r="B96" s="259"/>
      <x:c r="C96" s="268"/>
      <x:c r="D96" s="269"/>
      <x:c r="E96" s="269"/>
      <x:c r="F96" s="269"/>
      <x:c r="G96" s="269"/>
      <x:c r="H96" s="270"/>
      <x:c r="Z96" t="n">
        <x:f>IF(C96="",0,IF(C96="B",1,0))</x:f>
        <x:v>0</x:v>
      </x:c>
      <x:c r="AA96" t="n">
        <x:f>IF(C96="",0,1)</x:f>
        <x:v>0</x:v>
      </x:c>
    </x:row>
    <x:row r="97" ht="8" customHeight="1"/>
    <x:row r="98" ht="30" customHeight="1">
      <x:c r="A98" s="343" t="str">
        <x:v>Комментарий:</x:v>
      </x:c>
      <x:c r="B98" s="344"/>
      <x:c r="C98" s="176" t="str">
        <x:f>IF(C96="","Выберите ответ.",IF(C96="A","Неверно. Назван другой режим залежи; источник энергии из условия ему не соответствует. Правильный вариант: B.",IF(C96="B","Верно. Описанный в вопросе источник пластовой энергии соответствует этому режиму.",IF(C96="C","Неверно. Назван другой режим залежи; источник энергии из условия ему не соответствует. Правильный вариант: B.",IF(C96="D","Неверно. Назван другой режим залежи; источник энергии из условия ему не соответствует. Правильный вариант: B.",IF(C96="E","Неверно. Назван другой режим залежи; источник энергии из условия ему не соответствует. Правильный вариант: B.",IF(C96="F","Неверно. Назван другой режим залежи; источник энергии из условия ему не соответствует. Правильный вариант: B.","Неверно. Ответ не распознан. Правильный вариант: B.")))))))</x:f>
        <x:v>Выберите ответ.</x:v>
      </x:c>
      <x:c r="D98" s="177"/>
      <x:c r="E98" s="177"/>
      <x:c r="F98" s="177"/>
      <x:c r="G98" s="177"/>
      <x:c r="H98" s="178"/>
    </x:row>
    <x:row r="99" ht="30" customHeight="1">
      <x:c r="A99" s="345"/>
      <x:c r="B99" s="346"/>
      <x:c r="C99" s="179"/>
      <x:c r="D99" s="180"/>
      <x:c r="E99" s="180"/>
      <x:c r="F99" s="180"/>
      <x:c r="G99" s="180"/>
      <x:c r="H99" s="181"/>
    </x:row>
    <x:row r="101" ht="24" customHeight="1">
      <x:c r="A101" s="228" t="str">
        <x:v>Вопрос 8 из 25</x:v>
      </x:c>
      <x:c r="B101" s="228"/>
      <x:c r="C101" s="228"/>
      <x:c r="D101" s="228"/>
      <x:c r="E101" s="228"/>
      <x:c r="F101" s="228"/>
      <x:c r="G101" s="228"/>
      <x:c r="H101" s="228"/>
    </x:row>
    <x:row r="102" ht="48" customHeight="1">
      <x:c r="A102" s="243" t="str">
        <x:v>Укажите режим работы газовой (газоконденсатной) залежи, при котором основным видом энергии, продвигающей флюиды по пласту, является напор расширяющегося газа, подошвенных и законтурных вод.</x:v>
      </x:c>
      <x:c r="B102" s="244"/>
      <x:c r="C102" s="244"/>
      <x:c r="D102" s="244"/>
      <x:c r="E102" s="244"/>
      <x:c r="F102" s="244"/>
      <x:c r="G102" s="244"/>
      <x:c r="H102" s="245"/>
    </x:row>
    <x:row r="103" ht="48" customHeight="1">
      <x:c r="A103" s="246"/>
      <x:c r="B103" s="247"/>
      <x:c r="C103" s="247"/>
      <x:c r="D103" s="247"/>
      <x:c r="E103" s="247"/>
      <x:c r="F103" s="247"/>
      <x:c r="G103" s="247"/>
      <x:c r="H103" s="248"/>
    </x:row>
    <x:row r="104" ht="8" customHeight="1"/>
    <x:row r="105" ht="24" customHeight="1">
      <x:c r="A105" s="253" t="str">
        <x:v>A</x:v>
      </x:c>
      <x:c r="B105" s="99" t="str">
        <x:v>Газоводонапорный режим.</x:v>
      </x:c>
      <x:c r="C105" s="100"/>
      <x:c r="D105" s="100"/>
      <x:c r="E105" s="100"/>
      <x:c r="F105" s="100"/>
      <x:c r="G105" s="100"/>
      <x:c r="H105" s="101"/>
    </x:row>
    <x:row r="106" ht="24" customHeight="1">
      <x:c r="A106" s="253" t="str">
        <x:v>B</x:v>
      </x:c>
      <x:c r="B106" s="99" t="str">
        <x:v>Режим газовой шапки.</x:v>
      </x:c>
      <x:c r="C106" s="100"/>
      <x:c r="D106" s="100"/>
      <x:c r="E106" s="100"/>
      <x:c r="F106" s="100"/>
      <x:c r="G106" s="100"/>
      <x:c r="H106" s="101"/>
    </x:row>
    <x:row r="107" ht="24" customHeight="1">
      <x:c r="A107" s="253" t="str">
        <x:v>C</x:v>
      </x:c>
      <x:c r="B107" s="99" t="str">
        <x:v>Режим растворенного газа.</x:v>
      </x:c>
      <x:c r="C107" s="100"/>
      <x:c r="D107" s="100"/>
      <x:c r="E107" s="100"/>
      <x:c r="F107" s="100"/>
      <x:c r="G107" s="100"/>
      <x:c r="H107" s="101"/>
    </x:row>
    <x:row r="108" ht="24" customHeight="1">
      <x:c r="A108" s="253" t="str">
        <x:v>D</x:v>
      </x:c>
      <x:c r="B108" s="99" t="str">
        <x:v>Упругий режим.</x:v>
      </x:c>
      <x:c r="C108" s="100"/>
      <x:c r="D108" s="100"/>
      <x:c r="E108" s="100"/>
      <x:c r="F108" s="100"/>
      <x:c r="G108" s="100"/>
      <x:c r="H108" s="101"/>
    </x:row>
    <x:row r="109" ht="24" customHeight="1">
      <x:c r="A109" s="253" t="str">
        <x:v>E</x:v>
      </x:c>
      <x:c r="B109" s="99" t="str">
        <x:v>Гравитационный режим.</x:v>
      </x:c>
      <x:c r="C109" s="100"/>
      <x:c r="D109" s="100"/>
      <x:c r="E109" s="100"/>
      <x:c r="F109" s="100"/>
      <x:c r="G109" s="100"/>
      <x:c r="H109" s="101"/>
    </x:row>
    <x:row r="110" ht="8" customHeight="1"/>
    <x:row r="111" ht="28" customHeight="1">
      <x:c r="A111" s="258" t="str">
        <x:v>Ваш ответ:</x:v>
      </x:c>
      <x:c r="B111" s="259"/>
      <x:c r="C111" s="268"/>
      <x:c r="D111" s="269"/>
      <x:c r="E111" s="269"/>
      <x:c r="F111" s="269"/>
      <x:c r="G111" s="269"/>
      <x:c r="H111" s="270"/>
      <x:c r="Z111" t="n">
        <x:f>IF(C111="",0,IF(C111="A",1,0))</x:f>
        <x:v>0</x:v>
      </x:c>
      <x:c r="AA111" t="n">
        <x:f>IF(C111="",0,1)</x:f>
        <x:v>0</x:v>
      </x:c>
    </x:row>
    <x:row r="112" ht="8" customHeight="1"/>
    <x:row r="113" ht="30" customHeight="1">
      <x:c r="A113" s="343" t="str">
        <x:v>Комментарий:</x:v>
      </x:c>
      <x:c r="B113" s="344"/>
      <x:c r="C113" s="176" t="str">
        <x:f>IF(C111="","Выберите ответ.",IF(C111="A","Верно. Описанный в вопросе источник пластовой энергии соответствует этому режиму.",IF(C111="B","Неверно. Назван другой режим залежи; источник энергии из условия ему не соответствует. Правильный вариант: A.",IF(C111="C","Неверно. Назван другой режим залежи; источник энергии из условия ему не соответствует. Правильный вариант: A.",IF(C111="D","Неверно. Назван другой режим залежи; источник энергии из условия ему не соответствует. Правильный вариант: A.",IF(C111="E","Неверно. Назван другой режим залежи; источник энергии из условия ему не соответствует. Правильный вариант: A.","Неверно. Ответ не распознан. Правильный вариант: A."))))))</x:f>
        <x:v>Выберите ответ.</x:v>
      </x:c>
      <x:c r="D113" s="177"/>
      <x:c r="E113" s="177"/>
      <x:c r="F113" s="177"/>
      <x:c r="G113" s="177"/>
      <x:c r="H113" s="178"/>
    </x:row>
    <x:row r="114" ht="30" customHeight="1">
      <x:c r="A114" s="345"/>
      <x:c r="B114" s="346"/>
      <x:c r="C114" s="179"/>
      <x:c r="D114" s="180"/>
      <x:c r="E114" s="180"/>
      <x:c r="F114" s="180"/>
      <x:c r="G114" s="180"/>
      <x:c r="H114" s="181"/>
    </x:row>
    <x:row r="116" ht="24" customHeight="1">
      <x:c r="A116" s="228" t="str">
        <x:v>Вопрос 9 из 25</x:v>
      </x:c>
      <x:c r="B116" s="228"/>
      <x:c r="C116" s="228"/>
      <x:c r="D116" s="228"/>
      <x:c r="E116" s="228"/>
      <x:c r="F116" s="228"/>
      <x:c r="G116" s="228"/>
      <x:c r="H116" s="228"/>
    </x:row>
    <x:row r="117" ht="34" customHeight="1">
      <x:c r="A117" s="243" t="str">
        <x:v>Укажите наиболее вероятную причину появления межколонных газопроявлений (МКД) в скважинах из перечисленных.</x:v>
      </x:c>
      <x:c r="B117" s="244"/>
      <x:c r="C117" s="244"/>
      <x:c r="D117" s="244"/>
      <x:c r="E117" s="244"/>
      <x:c r="F117" s="244"/>
      <x:c r="G117" s="244"/>
      <x:c r="H117" s="245"/>
    </x:row>
    <x:row r="118" ht="34" customHeight="1">
      <x:c r="A118" s="246"/>
      <x:c r="B118" s="247"/>
      <x:c r="C118" s="247"/>
      <x:c r="D118" s="247"/>
      <x:c r="E118" s="247"/>
      <x:c r="F118" s="247"/>
      <x:c r="G118" s="247"/>
      <x:c r="H118" s="248"/>
    </x:row>
    <x:row r="119" ht="8" customHeight="1"/>
    <x:row r="120" ht="24" customHeight="1">
      <x:c r="A120" s="253" t="str">
        <x:v>A</x:v>
      </x:c>
      <x:c r="B120" s="99" t="str">
        <x:v>Общее старение фонда скважин.</x:v>
      </x:c>
      <x:c r="C120" s="100"/>
      <x:c r="D120" s="100"/>
      <x:c r="E120" s="100"/>
      <x:c r="F120" s="100"/>
      <x:c r="G120" s="100"/>
      <x:c r="H120" s="101"/>
    </x:row>
    <x:row r="121" ht="24" customHeight="1">
      <x:c r="A121" s="253" t="str">
        <x:v>B</x:v>
      </x:c>
      <x:c r="B121" s="99" t="str">
        <x:v>Разрушение призабойной зоны пласта.</x:v>
      </x:c>
      <x:c r="C121" s="100"/>
      <x:c r="D121" s="100"/>
      <x:c r="E121" s="100"/>
      <x:c r="F121" s="100"/>
      <x:c r="G121" s="100"/>
      <x:c r="H121" s="101"/>
    </x:row>
    <x:row r="122" ht="24" customHeight="1">
      <x:c r="A122" s="253" t="str">
        <x:v>C</x:v>
      </x:c>
      <x:c r="B122" s="99" t="str">
        <x:v>Негерметичный контакт между цементным камнем и породой.</x:v>
      </x:c>
      <x:c r="C122" s="100"/>
      <x:c r="D122" s="100"/>
      <x:c r="E122" s="100"/>
      <x:c r="F122" s="100"/>
      <x:c r="G122" s="100"/>
      <x:c r="H122" s="101"/>
    </x:row>
    <x:row r="123" ht="8" customHeight="1"/>
    <x:row r="124" ht="28" customHeight="1">
      <x:c r="A124" s="258" t="str">
        <x:v>Ваш ответ:</x:v>
      </x:c>
      <x:c r="B124" s="259"/>
      <x:c r="C124" s="268"/>
      <x:c r="D124" s="269"/>
      <x:c r="E124" s="269"/>
      <x:c r="F124" s="269"/>
      <x:c r="G124" s="269"/>
      <x:c r="H124" s="270"/>
      <x:c r="Z124" t="n">
        <x:f>IF(C124="",0,IF(C124="C",1,0))</x:f>
        <x:v>0</x:v>
      </x:c>
      <x:c r="AA124" t="n">
        <x:f>IF(C124="",0,1)</x:f>
        <x:v>0</x:v>
      </x:c>
    </x:row>
    <x:row r="125" ht="8" customHeight="1"/>
    <x:row r="126" ht="30" customHeight="1">
      <x:c r="A126" s="343" t="str">
        <x:v>Комментарий:</x:v>
      </x:c>
      <x:c r="B126" s="344"/>
      <x:c r="C126" s="176" t="str">
        <x:f>IF(C124="","Выберите ответ.",IF(C124="A","Неверно. Эта причина не соответствует описанному признаку или условию. Правильный вариант: C.",IF(C124="B","Неверно. Эта причина не соответствует описанному признаку или условию. Правильный вариант: C.",IF(C124="C","Верно. Эта причина соответствует описанному признаку или условию.","Неверно. Ответ не распознан. Правильный вариант: C."))))</x:f>
        <x:v>Выберите ответ.</x:v>
      </x:c>
      <x:c r="D126" s="177"/>
      <x:c r="E126" s="177"/>
      <x:c r="F126" s="177"/>
      <x:c r="G126" s="177"/>
      <x:c r="H126" s="178"/>
    </x:row>
    <x:row r="127" ht="30" customHeight="1">
      <x:c r="A127" s="345"/>
      <x:c r="B127" s="346"/>
      <x:c r="C127" s="179"/>
      <x:c r="D127" s="180"/>
      <x:c r="E127" s="180"/>
      <x:c r="F127" s="180"/>
      <x:c r="G127" s="180"/>
      <x:c r="H127" s="181"/>
    </x:row>
    <x:row r="129" ht="24" customHeight="1">
      <x:c r="A129" s="228" t="str">
        <x:v>Вопрос 10 из 25</x:v>
      </x:c>
      <x:c r="B129" s="228"/>
      <x:c r="C129" s="228"/>
      <x:c r="D129" s="228"/>
      <x:c r="E129" s="228"/>
      <x:c r="F129" s="228"/>
      <x:c r="G129" s="228"/>
      <x:c r="H129" s="228"/>
    </x:row>
    <x:row r="130" ht="34" customHeight="1">
      <x:c r="A130" s="243" t="str">
        <x:v>Укажите назначение направления.</x:v>
      </x:c>
      <x:c r="B130" s="244"/>
      <x:c r="C130" s="244"/>
      <x:c r="D130" s="244"/>
      <x:c r="E130" s="244"/>
      <x:c r="F130" s="244"/>
      <x:c r="G130" s="244"/>
      <x:c r="H130" s="245"/>
    </x:row>
    <x:row r="131" ht="34" customHeight="1">
      <x:c r="A131" s="246"/>
      <x:c r="B131" s="247"/>
      <x:c r="C131" s="247"/>
      <x:c r="D131" s="247"/>
      <x:c r="E131" s="247"/>
      <x:c r="F131" s="247"/>
      <x:c r="G131" s="247"/>
      <x:c r="H131" s="248"/>
    </x:row>
    <x:row r="132" ht="8" customHeight="1"/>
    <x:row r="133" ht="24" customHeight="1">
      <x:c r="A133" s="253" t="str">
        <x:v>A</x:v>
      </x:c>
      <x:c r="B133" s="99" t="str">
        <x:v>Перекрытие верхних интервалов неустойчивых отложений, предохранение устья скважины от размывания, установки ПВО.</x:v>
      </x:c>
      <x:c r="C133" s="100"/>
      <x:c r="D133" s="100"/>
      <x:c r="E133" s="100"/>
      <x:c r="F133" s="100"/>
      <x:c r="G133" s="100"/>
      <x:c r="H133" s="101"/>
    </x:row>
    <x:row r="134" ht="38" customHeight="1">
      <x:c r="A134" s="253" t="str">
        <x:v>B</x:v>
      </x:c>
      <x:c r="B134" s="99" t="str">
        <x:v>Перекрытие верхних интервалов неустойчивых отложений, предохранение устья скважины от размывания, установки и в дальнейшем колонной головки.</x:v>
      </x:c>
      <x:c r="C134" s="100"/>
      <x:c r="D134" s="100"/>
      <x:c r="E134" s="100"/>
      <x:c r="F134" s="100"/>
      <x:c r="G134" s="100"/>
      <x:c r="H134" s="101"/>
    </x:row>
    <x:row r="135" ht="24" customHeight="1">
      <x:c r="A135" s="253" t="str">
        <x:v>C</x:v>
      </x:c>
      <x:c r="B135" s="99" t="str">
        <x:v>Перекрытие верхних интервалов неустойчивых отложений, предохранение устья скважины от размывания, установка КГ, а в дальнейшем ФА.</x:v>
      </x:c>
      <x:c r="C135" s="100"/>
      <x:c r="D135" s="100"/>
      <x:c r="E135" s="100"/>
      <x:c r="F135" s="100"/>
      <x:c r="G135" s="100"/>
      <x:c r="H135" s="101"/>
    </x:row>
    <x:row r="136" ht="24" customHeight="1">
      <x:c r="A136" s="253" t="str">
        <x:v>D</x:v>
      </x:c>
      <x:c r="B136" s="99" t="str">
        <x:v>Перекрытие верхних интервалов неустойчивых отложений, предохранение устья скважины от размывания.</x:v>
      </x:c>
      <x:c r="C136" s="100"/>
      <x:c r="D136" s="100"/>
      <x:c r="E136" s="100"/>
      <x:c r="F136" s="100"/>
      <x:c r="G136" s="100"/>
      <x:c r="H136" s="101"/>
    </x:row>
    <x:row r="137" ht="8" customHeight="1"/>
    <x:row r="138" ht="28" customHeight="1">
      <x:c r="A138" s="258" t="str">
        <x:v>Ваш ответ:</x:v>
      </x:c>
      <x:c r="B138" s="259"/>
      <x:c r="C138" s="268"/>
      <x:c r="D138" s="269"/>
      <x:c r="E138" s="269"/>
      <x:c r="F138" s="269"/>
      <x:c r="G138" s="269"/>
      <x:c r="H138" s="270"/>
      <x:c r="Z138" t="n">
        <x:f>IF(C138="",0,IF(C138="D",1,0))</x:f>
        <x:v>0</x:v>
      </x:c>
      <x:c r="AA138" t="n">
        <x:f>IF(C138="",0,1)</x:f>
        <x:v>0</x:v>
      </x:c>
    </x:row>
    <x:row r="139" ht="8" customHeight="1"/>
    <x:row r="140" ht="30" customHeight="1">
      <x:c r="A140" s="343" t="str">
        <x:v>Комментарий:</x:v>
      </x:c>
      <x:c r="B140" s="344"/>
      <x:c r="C140" s="176" t="str">
        <x:f>IF(C138="","Выберите ответ.",IF(C138="A","Неверно. Это другая функция оборудования либо неполное его назначение. Правильный вариант: D.",IF(C138="B","Неверно. Это другая функция оборудования либо неполное его назначение. Правильный вариант: D.",IF(C138="C","Неверно. Это другая функция оборудования либо неполное его назначение. Правильный вариант: D.",IF(C138="D","Верно. Это назначение данного оборудования или элемента по исходному тесту.","Неверно. Ответ не распознан. Правильный вариант: D.")))))</x:f>
        <x:v>Выберите ответ.</x:v>
      </x:c>
      <x:c r="D140" s="177"/>
      <x:c r="E140" s="177"/>
      <x:c r="F140" s="177"/>
      <x:c r="G140" s="177"/>
      <x:c r="H140" s="178"/>
    </x:row>
    <x:row r="141" ht="30" customHeight="1">
      <x:c r="A141" s="345"/>
      <x:c r="B141" s="346"/>
      <x:c r="C141" s="179"/>
      <x:c r="D141" s="180"/>
      <x:c r="E141" s="180"/>
      <x:c r="F141" s="180"/>
      <x:c r="G141" s="180"/>
      <x:c r="H141" s="181"/>
    </x:row>
    <x:row r="143" ht="24" customHeight="1">
      <x:c r="A143" s="228" t="str">
        <x:v>Вопрос 11 из 25</x:v>
      </x:c>
      <x:c r="B143" s="228"/>
      <x:c r="C143" s="228"/>
      <x:c r="D143" s="228"/>
      <x:c r="E143" s="228"/>
      <x:c r="F143" s="228"/>
      <x:c r="G143" s="228"/>
      <x:c r="H143" s="228"/>
    </x:row>
    <x:row r="144" ht="48" customHeight="1">
      <x:c r="A144" s="243" t="str">
        <x:v>Укажите режим работы нефтяной (газонефтяной) залежи, при котором основным видом энергии, продвигающей флюид по пласту, является энергия сжимаемости пород.</x:v>
      </x:c>
      <x:c r="B144" s="244"/>
      <x:c r="C144" s="244"/>
      <x:c r="D144" s="244"/>
      <x:c r="E144" s="244"/>
      <x:c r="F144" s="244"/>
      <x:c r="G144" s="244"/>
      <x:c r="H144" s="245"/>
    </x:row>
    <x:row r="145" ht="48" customHeight="1">
      <x:c r="A145" s="246"/>
      <x:c r="B145" s="247"/>
      <x:c r="C145" s="247"/>
      <x:c r="D145" s="247"/>
      <x:c r="E145" s="247"/>
      <x:c r="F145" s="247"/>
      <x:c r="G145" s="247"/>
      <x:c r="H145" s="248"/>
    </x:row>
    <x:row r="146" ht="8" customHeight="1"/>
    <x:row r="147" ht="24" customHeight="1">
      <x:c r="A147" s="253" t="str">
        <x:v>A</x:v>
      </x:c>
      <x:c r="B147" s="99" t="str">
        <x:v>Жесткий водонапорный режим.</x:v>
      </x:c>
      <x:c r="C147" s="100"/>
      <x:c r="D147" s="100"/>
      <x:c r="E147" s="100"/>
      <x:c r="F147" s="100"/>
      <x:c r="G147" s="100"/>
      <x:c r="H147" s="101"/>
    </x:row>
    <x:row r="148" ht="24" customHeight="1">
      <x:c r="A148" s="253" t="str">
        <x:v>B</x:v>
      </x:c>
      <x:c r="B148" s="99" t="str">
        <x:v>Упруго-водонапорный режим.</x:v>
      </x:c>
      <x:c r="C148" s="100"/>
      <x:c r="D148" s="100"/>
      <x:c r="E148" s="100"/>
      <x:c r="F148" s="100"/>
      <x:c r="G148" s="100"/>
      <x:c r="H148" s="101"/>
    </x:row>
    <x:row r="149" ht="24" customHeight="1">
      <x:c r="A149" s="253" t="str">
        <x:v>C</x:v>
      </x:c>
      <x:c r="B149" s="99" t="str">
        <x:v>Газонапорный режим.</x:v>
      </x:c>
      <x:c r="C149" s="100"/>
      <x:c r="D149" s="100"/>
      <x:c r="E149" s="100"/>
      <x:c r="F149" s="100"/>
      <x:c r="G149" s="100"/>
      <x:c r="H149" s="101"/>
    </x:row>
    <x:row r="150" ht="24" customHeight="1">
      <x:c r="A150" s="253" t="str">
        <x:v>D</x:v>
      </x:c>
      <x:c r="B150" s="99" t="str">
        <x:v>Режим растворенного газа.</x:v>
      </x:c>
      <x:c r="C150" s="100"/>
      <x:c r="D150" s="100"/>
      <x:c r="E150" s="100"/>
      <x:c r="F150" s="100"/>
      <x:c r="G150" s="100"/>
      <x:c r="H150" s="101"/>
    </x:row>
    <x:row r="151" ht="24" customHeight="1">
      <x:c r="A151" s="253" t="str">
        <x:v>E</x:v>
      </x:c>
      <x:c r="B151" s="99" t="str">
        <x:v>Упругий режим.</x:v>
      </x:c>
      <x:c r="C151" s="100"/>
      <x:c r="D151" s="100"/>
      <x:c r="E151" s="100"/>
      <x:c r="F151" s="100"/>
      <x:c r="G151" s="100"/>
      <x:c r="H151" s="101"/>
    </x:row>
    <x:row r="152" ht="24" customHeight="1">
      <x:c r="A152" s="253" t="str">
        <x:v>F</x:v>
      </x:c>
      <x:c r="B152" s="99" t="str">
        <x:v>Гравитационный режим.</x:v>
      </x:c>
      <x:c r="C152" s="100"/>
      <x:c r="D152" s="100"/>
      <x:c r="E152" s="100"/>
      <x:c r="F152" s="100"/>
      <x:c r="G152" s="100"/>
      <x:c r="H152" s="101"/>
    </x:row>
    <x:row r="153" ht="8" customHeight="1"/>
    <x:row r="154" ht="28" customHeight="1">
      <x:c r="A154" s="258" t="str">
        <x:v>Ваш ответ:</x:v>
      </x:c>
      <x:c r="B154" s="259"/>
      <x:c r="C154" s="268"/>
      <x:c r="D154" s="269"/>
      <x:c r="E154" s="269"/>
      <x:c r="F154" s="269"/>
      <x:c r="G154" s="269"/>
      <x:c r="H154" s="270"/>
      <x:c r="Z154" t="n">
        <x:f>IF(C154="",0,IF(C154="E",1,0))</x:f>
        <x:v>0</x:v>
      </x:c>
      <x:c r="AA154" t="n">
        <x:f>IF(C154="",0,1)</x:f>
        <x:v>0</x:v>
      </x:c>
    </x:row>
    <x:row r="155" ht="8" customHeight="1"/>
    <x:row r="156" ht="30" customHeight="1">
      <x:c r="A156" s="343" t="str">
        <x:v>Комментарий:</x:v>
      </x:c>
      <x:c r="B156" s="344"/>
      <x:c r="C156" s="176" t="str">
        <x:f>IF(C154="","Выберите ответ.",IF(C154="A","Неверно. Назван другой режим залежи; источник энергии из условия ему не соответствует. Правильный вариант: E.",IF(C154="B","Неверно. Назван другой режим залежи; источник энергии из условия ему не соответствует. Правильный вариант: E.",IF(C154="C","Неверно. Назван другой режим залежи; источник энергии из условия ему не соответствует. Правильный вариант: E.",IF(C154="D","Неверно. Назван другой режим залежи; источник энергии из условия ему не соответствует. Правильный вариант: E.",IF(C154="E","Верно. Описанный в вопросе источник пластовой энергии соответствует этому режиму.",IF(C154="F","Неверно. Назван другой режим залежи; источник энергии из условия ему не соответствует. Правильный вариант: E.","Неверно. Ответ не распознан. Правильный вариант: E.")))))))</x:f>
        <x:v>Выберите ответ.</x:v>
      </x:c>
      <x:c r="D156" s="177"/>
      <x:c r="E156" s="177"/>
      <x:c r="F156" s="177"/>
      <x:c r="G156" s="177"/>
      <x:c r="H156" s="178"/>
    </x:row>
    <x:row r="157" ht="30" customHeight="1">
      <x:c r="A157" s="345"/>
      <x:c r="B157" s="346"/>
      <x:c r="C157" s="179"/>
      <x:c r="D157" s="180"/>
      <x:c r="E157" s="180"/>
      <x:c r="F157" s="180"/>
      <x:c r="G157" s="180"/>
      <x:c r="H157" s="181"/>
    </x:row>
    <x:row r="159" ht="24" customHeight="1">
      <x:c r="A159" s="228" t="str">
        <x:v>Вопрос 12 из 25</x:v>
      </x:c>
      <x:c r="B159" s="228"/>
      <x:c r="C159" s="228"/>
      <x:c r="D159" s="228"/>
      <x:c r="E159" s="228"/>
      <x:c r="F159" s="228"/>
      <x:c r="G159" s="228"/>
      <x:c r="H159" s="228"/>
    </x:row>
    <x:row r="160" ht="34" customHeight="1">
      <x:c r="A160" s="243" t="str">
        <x:v>Укажите назначение фонтанной «Ёлки»?</x:v>
      </x:c>
      <x:c r="B160" s="244"/>
      <x:c r="C160" s="244"/>
      <x:c r="D160" s="244"/>
      <x:c r="E160" s="244"/>
      <x:c r="F160" s="244"/>
      <x:c r="G160" s="244"/>
      <x:c r="H160" s="245"/>
    </x:row>
    <x:row r="161" ht="34" customHeight="1">
      <x:c r="A161" s="246"/>
      <x:c r="B161" s="247"/>
      <x:c r="C161" s="247"/>
      <x:c r="D161" s="247"/>
      <x:c r="E161" s="247"/>
      <x:c r="F161" s="247"/>
      <x:c r="G161" s="247"/>
      <x:c r="H161" s="248"/>
    </x:row>
    <x:row r="162" ht="8" customHeight="1"/>
    <x:row r="163" ht="38" customHeight="1">
      <x:c r="A163" s="253" t="str">
        <x:v>A</x:v>
      </x:c>
      <x:c r="B163" s="99" t="str">
        <x:v>Регулирование режимов эксплуатации, контроль давления и температуры, направление потока пластового флюида, проведение технологических операций, проведение ремонта скважины.</x:v>
      </x:c>
      <x:c r="C163" s="100"/>
      <x:c r="D163" s="100"/>
      <x:c r="E163" s="100"/>
      <x:c r="F163" s="100"/>
      <x:c r="G163" s="100"/>
      <x:c r="H163" s="101"/>
    </x:row>
    <x:row r="164" ht="38" customHeight="1">
      <x:c r="A164" s="253" t="str">
        <x:v>B</x:v>
      </x:c>
      <x:c r="B164" s="99" t="str">
        <x:v>Регулирование режимов эксплуатации, контроль давления и температуры, направление потока пластового флюида, проведение технологических операций, разобщения пластов.</x:v>
      </x:c>
      <x:c r="C164" s="100"/>
      <x:c r="D164" s="100"/>
      <x:c r="E164" s="100"/>
      <x:c r="F164" s="100"/>
      <x:c r="G164" s="100"/>
      <x:c r="H164" s="101"/>
    </x:row>
    <x:row r="165" ht="24" customHeight="1">
      <x:c r="A165" s="253" t="str">
        <x:v>C</x:v>
      </x:c>
      <x:c r="B165" s="99" t="str">
        <x:v>Регулирование параметров потока скважинной среды в скважинном трубопроводе, а также распределения или смешивания потоков.</x:v>
      </x:c>
      <x:c r="C165" s="100"/>
      <x:c r="D165" s="100"/>
      <x:c r="E165" s="100"/>
      <x:c r="F165" s="100"/>
      <x:c r="G165" s="100"/>
      <x:c r="H165" s="101"/>
    </x:row>
    <x:row r="166" ht="8" customHeight="1"/>
    <x:row r="167" ht="28" customHeight="1">
      <x:c r="A167" s="258" t="str">
        <x:v>Ваш ответ:</x:v>
      </x:c>
      <x:c r="B167" s="259"/>
      <x:c r="C167" s="268"/>
      <x:c r="D167" s="269"/>
      <x:c r="E167" s="269"/>
      <x:c r="F167" s="269"/>
      <x:c r="G167" s="269"/>
      <x:c r="H167" s="270"/>
      <x:c r="Z167" t="n">
        <x:f>IF(C167="",0,IF(C167="C",1,0))</x:f>
        <x:v>0</x:v>
      </x:c>
      <x:c r="AA167" t="n">
        <x:f>IF(C167="",0,1)</x:f>
        <x:v>0</x:v>
      </x:c>
    </x:row>
    <x:row r="168" ht="8" customHeight="1"/>
    <x:row r="169" ht="30" customHeight="1">
      <x:c r="A169" s="343" t="str">
        <x:v>Комментарий:</x:v>
      </x:c>
      <x:c r="B169" s="344"/>
      <x:c r="C169" s="176" t="str">
        <x:f>IF(C167="","Выберите ответ.",IF(C167="A","Неверно. Это другая функция оборудования либо неполное его назначение. Правильный вариант: C.",IF(C167="B","Неверно. Это другая функция оборудования либо неполное его назначение. Правильный вариант: C.",IF(C167="C","Верно. Это назначение данного оборудования или элемента по исходному тесту.","Неверно. Ответ не распознан. Правильный вариант: C."))))</x:f>
        <x:v>Выберите ответ.</x:v>
      </x:c>
      <x:c r="D169" s="177"/>
      <x:c r="E169" s="177"/>
      <x:c r="F169" s="177"/>
      <x:c r="G169" s="177"/>
      <x:c r="H169" s="178"/>
    </x:row>
    <x:row r="170" ht="30" customHeight="1">
      <x:c r="A170" s="345"/>
      <x:c r="B170" s="346"/>
      <x:c r="C170" s="179"/>
      <x:c r="D170" s="180"/>
      <x:c r="E170" s="180"/>
      <x:c r="F170" s="180"/>
      <x:c r="G170" s="180"/>
      <x:c r="H170" s="181"/>
    </x:row>
    <x:row r="172" ht="24" customHeight="1">
      <x:c r="A172" s="228" t="str">
        <x:v>Вопрос 13 из 25</x:v>
      </x:c>
      <x:c r="B172" s="228"/>
      <x:c r="C172" s="228"/>
      <x:c r="D172" s="228"/>
      <x:c r="E172" s="228"/>
      <x:c r="F172" s="228"/>
      <x:c r="G172" s="228"/>
      <x:c r="H172" s="228"/>
    </x:row>
    <x:row r="173" ht="34" customHeight="1">
      <x:c r="A173" s="243" t="str">
        <x:v>Какое внутрискважинное оборудование применяют для предупреждения открытого фонтанирования?</x:v>
      </x:c>
      <x:c r="B173" s="244"/>
      <x:c r="C173" s="244"/>
      <x:c r="D173" s="244"/>
      <x:c r="E173" s="244"/>
      <x:c r="F173" s="244"/>
      <x:c r="G173" s="244"/>
      <x:c r="H173" s="245"/>
    </x:row>
    <x:row r="174" ht="34" customHeight="1">
      <x:c r="A174" s="246"/>
      <x:c r="B174" s="247"/>
      <x:c r="C174" s="247"/>
      <x:c r="D174" s="247"/>
      <x:c r="E174" s="247"/>
      <x:c r="F174" s="247"/>
      <x:c r="G174" s="247"/>
      <x:c r="H174" s="248"/>
    </x:row>
    <x:row r="175" ht="8" customHeight="1"/>
    <x:row r="176" ht="24" customHeight="1">
      <x:c r="A176" s="253" t="str">
        <x:v>A</x:v>
      </x:c>
      <x:c r="B176" s="99" t="str">
        <x:v>Лифтовая колонна НКТ.</x:v>
      </x:c>
      <x:c r="C176" s="100"/>
      <x:c r="D176" s="100"/>
      <x:c r="E176" s="100"/>
      <x:c r="F176" s="100"/>
      <x:c r="G176" s="100"/>
      <x:c r="H176" s="101"/>
    </x:row>
    <x:row r="177" ht="24" customHeight="1">
      <x:c r="A177" s="253" t="str">
        <x:v>B</x:v>
      </x:c>
      <x:c r="B177" s="99" t="str">
        <x:v>Клапан-отсекатель.</x:v>
      </x:c>
      <x:c r="C177" s="100"/>
      <x:c r="D177" s="100"/>
      <x:c r="E177" s="100"/>
      <x:c r="F177" s="100"/>
      <x:c r="G177" s="100"/>
      <x:c r="H177" s="101"/>
    </x:row>
    <x:row r="178" ht="24" customHeight="1">
      <x:c r="A178" s="253" t="str">
        <x:v>C</x:v>
      </x:c>
      <x:c r="B178" s="99" t="str">
        <x:v>Пакер.</x:v>
      </x:c>
      <x:c r="C178" s="100"/>
      <x:c r="D178" s="100"/>
      <x:c r="E178" s="100"/>
      <x:c r="F178" s="100"/>
      <x:c r="G178" s="100"/>
      <x:c r="H178" s="101"/>
    </x:row>
    <x:row r="179" ht="24" customHeight="1">
      <x:c r="A179" s="253" t="str">
        <x:v>D</x:v>
      </x:c>
      <x:c r="B179" s="99" t="str">
        <x:v>Циркуляционный клапан.</x:v>
      </x:c>
      <x:c r="C179" s="100"/>
      <x:c r="D179" s="100"/>
      <x:c r="E179" s="100"/>
      <x:c r="F179" s="100"/>
      <x:c r="G179" s="100"/>
      <x:c r="H179" s="101"/>
    </x:row>
    <x:row r="180" ht="8" customHeight="1"/>
    <x:row r="181" ht="28" customHeight="1">
      <x:c r="A181" s="258" t="str">
        <x:v>Ваш ответ:</x:v>
      </x:c>
      <x:c r="B181" s="259"/>
      <x:c r="C181" s="268"/>
      <x:c r="D181" s="269"/>
      <x:c r="E181" s="269"/>
      <x:c r="F181" s="269"/>
      <x:c r="G181" s="269"/>
      <x:c r="H181" s="270"/>
      <x:c r="Z181" t="n">
        <x:f>IF(C181="",0,IF(C181="B",1,0))</x:f>
        <x:v>0</x:v>
      </x:c>
      <x:c r="AA181" t="n">
        <x:f>IF(C181="",0,1)</x:f>
        <x:v>0</x:v>
      </x:c>
    </x:row>
    <x:row r="182" ht="8" customHeight="1"/>
    <x:row r="183" ht="30" customHeight="1">
      <x:c r="A183" s="343" t="str">
        <x:v>Комментарий:</x:v>
      </x:c>
      <x:c r="B183" s="344"/>
      <x:c r="C183" s="176" t="str">
        <x:f>IF(C181="","Выберите ответ.",IF(C181="A","Неверно. Этот вариант не соответствует ключу исходного теста. Правильный вариант: B.",IF(C181="B","Верно. Этот вариант соответствует ключу исходного теста.",IF(C181="C","Неверно. Этот вариант не соответствует ключу исходного теста. Правильный вариант: B.",IF(C181="D","Неверно. Этот вариант не соответствует ключу исходного теста. Правильный вариант: B.","Неверно. Ответ не распознан. Правильный вариант: B.")))))</x:f>
        <x:v>Выберите ответ.</x:v>
      </x:c>
      <x:c r="D183" s="177"/>
      <x:c r="E183" s="177"/>
      <x:c r="F183" s="177"/>
      <x:c r="G183" s="177"/>
      <x:c r="H183" s="178"/>
    </x:row>
    <x:row r="184" ht="30" customHeight="1">
      <x:c r="A184" s="345"/>
      <x:c r="B184" s="346"/>
      <x:c r="C184" s="179"/>
      <x:c r="D184" s="180"/>
      <x:c r="E184" s="180"/>
      <x:c r="F184" s="180"/>
      <x:c r="G184" s="180"/>
      <x:c r="H184" s="181"/>
    </x:row>
    <x:row r="186" ht="24" customHeight="1">
      <x:c r="A186" s="228" t="str">
        <x:v>Вопрос 14 из 25</x:v>
      </x:c>
      <x:c r="B186" s="228"/>
      <x:c r="C186" s="228"/>
      <x:c r="D186" s="228"/>
      <x:c r="E186" s="228"/>
      <x:c r="F186" s="228"/>
      <x:c r="G186" s="228"/>
      <x:c r="H186" s="228"/>
    </x:row>
    <x:row r="187" ht="34" customHeight="1">
      <x:c r="A187" s="243" t="str">
        <x:v>Какая из нижеперечисленных величин является нормальным пластовым градиентом?</x:v>
      </x:c>
      <x:c r="B187" s="244"/>
      <x:c r="C187" s="244"/>
      <x:c r="D187" s="244"/>
      <x:c r="E187" s="244"/>
      <x:c r="F187" s="244"/>
      <x:c r="G187" s="244"/>
      <x:c r="H187" s="245"/>
    </x:row>
    <x:row r="188" ht="34" customHeight="1">
      <x:c r="A188" s="246"/>
      <x:c r="B188" s="247"/>
      <x:c r="C188" s="247"/>
      <x:c r="D188" s="247"/>
      <x:c r="E188" s="247"/>
      <x:c r="F188" s="247"/>
      <x:c r="G188" s="247"/>
      <x:c r="H188" s="248"/>
    </x:row>
    <x:row r="189" ht="8" customHeight="1"/>
    <x:row r="190" ht="24" customHeight="1">
      <x:c r="A190" s="253" t="str">
        <x:v>A</x:v>
      </x:c>
      <x:c r="B190" s="99" t="str">
        <x:v>0,230 атм/м</x:v>
      </x:c>
      <x:c r="C190" s="100"/>
      <x:c r="D190" s="100"/>
      <x:c r="E190" s="100"/>
      <x:c r="F190" s="100"/>
      <x:c r="G190" s="100"/>
      <x:c r="H190" s="101"/>
    </x:row>
    <x:row r="191" ht="24" customHeight="1">
      <x:c r="A191" s="253" t="str">
        <x:v>B</x:v>
      </x:c>
      <x:c r="B191" s="99" t="str">
        <x:v>0,150 атм/м</x:v>
      </x:c>
      <x:c r="C191" s="100"/>
      <x:c r="D191" s="100"/>
      <x:c r="E191" s="100"/>
      <x:c r="F191" s="100"/>
      <x:c r="G191" s="100"/>
      <x:c r="H191" s="101"/>
    </x:row>
    <x:row r="192" ht="24" customHeight="1">
      <x:c r="A192" s="253" t="str">
        <x:v>C</x:v>
      </x:c>
      <x:c r="B192" s="99" t="str">
        <x:v>1,050 атм/м</x:v>
      </x:c>
      <x:c r="C192" s="100"/>
      <x:c r="D192" s="100"/>
      <x:c r="E192" s="100"/>
      <x:c r="F192" s="100"/>
      <x:c r="G192" s="100"/>
      <x:c r="H192" s="101"/>
    </x:row>
    <x:row r="193" ht="24" customHeight="1">
      <x:c r="A193" s="253" t="str">
        <x:v>D</x:v>
      </x:c>
      <x:c r="B193" s="99" t="str">
        <x:v>0,104 атм/м</x:v>
      </x:c>
      <x:c r="C193" s="100"/>
      <x:c r="D193" s="100"/>
      <x:c r="E193" s="100"/>
      <x:c r="F193" s="100"/>
      <x:c r="G193" s="100"/>
      <x:c r="H193" s="101"/>
    </x:row>
    <x:row r="194" ht="8" customHeight="1"/>
    <x:row r="195" ht="28" customHeight="1">
      <x:c r="A195" s="258" t="str">
        <x:v>Ваш ответ:</x:v>
      </x:c>
      <x:c r="B195" s="259"/>
      <x:c r="C195" s="268"/>
      <x:c r="D195" s="269"/>
      <x:c r="E195" s="269"/>
      <x:c r="F195" s="269"/>
      <x:c r="G195" s="269"/>
      <x:c r="H195" s="270"/>
      <x:c r="Z195" t="n">
        <x:f>IF(C195="",0,IF(C195="D",1,0))</x:f>
        <x:v>0</x:v>
      </x:c>
      <x:c r="AA195" t="n">
        <x:f>IF(C195="",0,1)</x:f>
        <x:v>0</x:v>
      </x:c>
    </x:row>
    <x:row r="196" ht="8" customHeight="1"/>
    <x:row r="197" ht="30" customHeight="1">
      <x:c r="A197" s="343" t="str">
        <x:v>Комментарий:</x:v>
      </x:c>
      <x:c r="B197" s="344"/>
      <x:c r="C197" s="176" t="str">
        <x:f>IF(C195="","Выберите ответ.",IF(C195="A","Неверно. Этот вариант не соответствует ключу исходного теста. Правильный вариант: D.",IF(C195="B","Неверно. Этот вариант не соответствует ключу исходного теста. Правильный вариант: D.",IF(C195="C","Неверно. Этот вариант не соответствует ключу исходного теста. Правильный вариант: D.",IF(C195="D","Верно. Этот вариант соответствует ключу исходного теста.","Неверно. Ответ не распознан. Правильный вариант: D.")))))</x:f>
        <x:v>Выберите ответ.</x:v>
      </x:c>
      <x:c r="D197" s="177"/>
      <x:c r="E197" s="177"/>
      <x:c r="F197" s="177"/>
      <x:c r="G197" s="177"/>
      <x:c r="H197" s="178"/>
    </x:row>
    <x:row r="198" ht="30" customHeight="1">
      <x:c r="A198" s="345"/>
      <x:c r="B198" s="346"/>
      <x:c r="C198" s="179"/>
      <x:c r="D198" s="180"/>
      <x:c r="E198" s="180"/>
      <x:c r="F198" s="180"/>
      <x:c r="G198" s="180"/>
      <x:c r="H198" s="181"/>
    </x:row>
    <x:row r="200" ht="24" customHeight="1">
      <x:c r="A200" s="228" t="str">
        <x:v>Вопрос 15 из 25</x:v>
      </x:c>
      <x:c r="B200" s="228"/>
      <x:c r="C200" s="228"/>
      <x:c r="D200" s="228"/>
      <x:c r="E200" s="228"/>
      <x:c r="F200" s="228"/>
      <x:c r="G200" s="228"/>
      <x:c r="H200" s="228"/>
    </x:row>
    <x:row r="201" ht="34" customHeight="1">
      <x:c r="A201" s="243" t="str">
        <x:v>Аномально высокое давление (АВПД) вызывается главным образом:</x:v>
      </x:c>
      <x:c r="B201" s="244"/>
      <x:c r="C201" s="244"/>
      <x:c r="D201" s="244"/>
      <x:c r="E201" s="244"/>
      <x:c r="F201" s="244"/>
      <x:c r="G201" s="244"/>
      <x:c r="H201" s="245"/>
    </x:row>
    <x:row r="202" ht="34" customHeight="1">
      <x:c r="A202" s="246"/>
      <x:c r="B202" s="247"/>
      <x:c r="C202" s="247"/>
      <x:c r="D202" s="247"/>
      <x:c r="E202" s="247"/>
      <x:c r="F202" s="247"/>
      <x:c r="G202" s="247"/>
      <x:c r="H202" s="248"/>
    </x:row>
    <x:row r="203" ht="8" customHeight="1"/>
    <x:row r="204" ht="24" customHeight="1">
      <x:c r="A204" s="253" t="str">
        <x:v>A</x:v>
      </x:c>
      <x:c r="B204" s="99" t="str">
        <x:v>Мощными толщами глин.</x:v>
      </x:c>
      <x:c r="C204" s="100"/>
      <x:c r="D204" s="100"/>
      <x:c r="E204" s="100"/>
      <x:c r="F204" s="100"/>
      <x:c r="G204" s="100"/>
      <x:c r="H204" s="101"/>
    </x:row>
    <x:row r="205" ht="24" customHeight="1">
      <x:c r="A205" s="253" t="str">
        <x:v>B</x:v>
      </x:c>
      <x:c r="B205" s="99" t="str">
        <x:v>Низкой плотностью бурового раствора.</x:v>
      </x:c>
      <x:c r="C205" s="100"/>
      <x:c r="D205" s="100"/>
      <x:c r="E205" s="100"/>
      <x:c r="F205" s="100"/>
      <x:c r="G205" s="100"/>
      <x:c r="H205" s="101"/>
    </x:row>
    <x:row r="206" ht="24" customHeight="1">
      <x:c r="A206" s="253" t="str">
        <x:v>C</x:v>
      </x:c>
      <x:c r="B206" s="99" t="str">
        <x:v>Давлением на пластовый флюид со стороны вышележащих горных пород.</x:v>
      </x:c>
      <x:c r="C206" s="100"/>
      <x:c r="D206" s="100"/>
      <x:c r="E206" s="100"/>
      <x:c r="F206" s="100"/>
      <x:c r="G206" s="100"/>
      <x:c r="H206" s="101"/>
    </x:row>
    <x:row r="207" ht="24" customHeight="1">
      <x:c r="A207" s="253" t="str">
        <x:v>D</x:v>
      </x:c>
      <x:c r="B207" s="99" t="str">
        <x:v>Солями и ангидритами.</x:v>
      </x:c>
      <x:c r="C207" s="100"/>
      <x:c r="D207" s="100"/>
      <x:c r="E207" s="100"/>
      <x:c r="F207" s="100"/>
      <x:c r="G207" s="100"/>
      <x:c r="H207" s="101"/>
    </x:row>
    <x:row r="208" ht="8" customHeight="1"/>
    <x:row r="209" ht="28" customHeight="1">
      <x:c r="A209" s="258" t="str">
        <x:v>Ваш ответ:</x:v>
      </x:c>
      <x:c r="B209" s="259"/>
      <x:c r="C209" s="268"/>
      <x:c r="D209" s="269"/>
      <x:c r="E209" s="269"/>
      <x:c r="F209" s="269"/>
      <x:c r="G209" s="269"/>
      <x:c r="H209" s="270"/>
      <x:c r="Z209" t="n">
        <x:f>IF(C209="",0,IF(C209="A",1,0))</x:f>
        <x:v>0</x:v>
      </x:c>
      <x:c r="AA209" t="n">
        <x:f>IF(C209="",0,1)</x:f>
        <x:v>0</x:v>
      </x:c>
    </x:row>
    <x:row r="210" ht="8" customHeight="1"/>
    <x:row r="211" ht="30" customHeight="1">
      <x:c r="A211" s="343" t="str">
        <x:v>Комментарий:</x:v>
      </x:c>
      <x:c r="B211" s="344"/>
      <x:c r="C211" s="176" t="str">
        <x:f>IF(C209="","Выберите ответ.",IF(C209="A","Верно. Этот вариант соответствует ключу исходного теста.",IF(C209="B","Неверно. Этот вариант не соответствует ключу исходного теста. Правильный вариант: A.",IF(C209="C","Неверно. Этот вариант не соответствует ключу исходного теста. Правильный вариант: A.",IF(C209="D","Неверно. Этот вариант не соответствует ключу исходного теста. Правильный вариант: A.","Неверно. Ответ не распознан. Правильный вариант: A.")))))</x:f>
        <x:v>Выберите ответ.</x:v>
      </x:c>
      <x:c r="D211" s="177"/>
      <x:c r="E211" s="177"/>
      <x:c r="F211" s="177"/>
      <x:c r="G211" s="177"/>
      <x:c r="H211" s="178"/>
    </x:row>
    <x:row r="212" ht="30" customHeight="1">
      <x:c r="A212" s="345"/>
      <x:c r="B212" s="346"/>
      <x:c r="C212" s="179"/>
      <x:c r="D212" s="180"/>
      <x:c r="E212" s="180"/>
      <x:c r="F212" s="180"/>
      <x:c r="G212" s="180"/>
      <x:c r="H212" s="181"/>
    </x:row>
    <x:row r="214" ht="24" customHeight="1">
      <x:c r="A214" s="228" t="str">
        <x:v>Вопрос 16 из 25</x:v>
      </x:c>
      <x:c r="B214" s="228"/>
      <x:c r="C214" s="228"/>
      <x:c r="D214" s="228"/>
      <x:c r="E214" s="228"/>
      <x:c r="F214" s="228"/>
      <x:c r="G214" s="228"/>
      <x:c r="H214" s="228"/>
    </x:row>
    <x:row r="215" ht="34" customHeight="1">
      <x:c r="A215" s="243" t="str">
        <x:v>Чем определяется аномально высокое давление (АВПД)?</x:v>
      </x:c>
      <x:c r="B215" s="244"/>
      <x:c r="C215" s="244"/>
      <x:c r="D215" s="244"/>
      <x:c r="E215" s="244"/>
      <x:c r="F215" s="244"/>
      <x:c r="G215" s="244"/>
      <x:c r="H215" s="245"/>
    </x:row>
    <x:row r="216" ht="34" customHeight="1">
      <x:c r="A216" s="246"/>
      <x:c r="B216" s="247"/>
      <x:c r="C216" s="247"/>
      <x:c r="D216" s="247"/>
      <x:c r="E216" s="247"/>
      <x:c r="F216" s="247"/>
      <x:c r="G216" s="247"/>
      <x:c r="H216" s="248"/>
    </x:row>
    <x:row r="217" ht="8" customHeight="1"/>
    <x:row r="218" ht="24" customHeight="1">
      <x:c r="A218" s="253" t="str">
        <x:v>A</x:v>
      </x:c>
      <x:c r="B218" s="99" t="str">
        <x:v>Давлением вышележащих пластов.</x:v>
      </x:c>
      <x:c r="C218" s="100"/>
      <x:c r="D218" s="100"/>
      <x:c r="E218" s="100"/>
      <x:c r="F218" s="100"/>
      <x:c r="G218" s="100"/>
      <x:c r="H218" s="101"/>
    </x:row>
    <x:row r="219" ht="24" customHeight="1">
      <x:c r="A219" s="253" t="str">
        <x:v>B</x:v>
      </x:c>
      <x:c r="B219" s="99" t="str">
        <x:v>Градиентом равным 0,104 атм/м.</x:v>
      </x:c>
      <x:c r="C219" s="100"/>
      <x:c r="D219" s="100"/>
      <x:c r="E219" s="100"/>
      <x:c r="F219" s="100"/>
      <x:c r="G219" s="100"/>
      <x:c r="H219" s="101"/>
    </x:row>
    <x:row r="220" ht="24" customHeight="1">
      <x:c r="A220" s="253" t="str">
        <x:v>C</x:v>
      </x:c>
      <x:c r="B220" s="99" t="str">
        <x:v>Превышением пластового давления над давлением столба пресной воды на этой же глубине свыше 30%.</x:v>
      </x:c>
      <x:c r="C220" s="100"/>
      <x:c r="D220" s="100"/>
      <x:c r="E220" s="100"/>
      <x:c r="F220" s="100"/>
      <x:c r="G220" s="100"/>
      <x:c r="H220" s="101"/>
    </x:row>
    <x:row r="221" ht="24" customHeight="1">
      <x:c r="A221" s="253" t="str">
        <x:v>D</x:v>
      </x:c>
      <x:c r="B221" s="99" t="str">
        <x:v>Величиной пористости горных пород.</x:v>
      </x:c>
      <x:c r="C221" s="100"/>
      <x:c r="D221" s="100"/>
      <x:c r="E221" s="100"/>
      <x:c r="F221" s="100"/>
      <x:c r="G221" s="100"/>
      <x:c r="H221" s="101"/>
    </x:row>
    <x:row r="222" ht="8" customHeight="1"/>
    <x:row r="223" ht="28" customHeight="1">
      <x:c r="A223" s="258" t="str">
        <x:v>Ваш ответ:</x:v>
      </x:c>
      <x:c r="B223" s="259"/>
      <x:c r="C223" s="268"/>
      <x:c r="D223" s="269"/>
      <x:c r="E223" s="269"/>
      <x:c r="F223" s="269"/>
      <x:c r="G223" s="269"/>
      <x:c r="H223" s="270"/>
      <x:c r="Z223" t="n">
        <x:f>IF(C223="",0,IF(C223="C",1,0))</x:f>
        <x:v>0</x:v>
      </x:c>
      <x:c r="AA223" t="n">
        <x:f>IF(C223="",0,1)</x:f>
        <x:v>0</x:v>
      </x:c>
    </x:row>
    <x:row r="224" ht="8" customHeight="1"/>
    <x:row r="225" ht="30" customHeight="1">
      <x:c r="A225" s="343" t="str">
        <x:v>Комментарий:</x:v>
      </x:c>
      <x:c r="B225" s="344"/>
      <x:c r="C225" s="176" t="str">
        <x:f>IF(C223="","Выберите ответ.",IF(C223="A","Неверно. Указано другое нормативное значение или предел. Правильный вариант: C.",IF(C223="B","Неверно. Указано другое нормативное значение или предел. Правильный вариант: C.",IF(C223="C","Верно. Указано нормативное значение или предел, приведённый в исходном тесте.",IF(C223="D","Неверно. Указано другое нормативное значение или предел. Правильный вариант: C.","Неверно. Ответ не распознан. Правильный вариант: C.")))))</x:f>
        <x:v>Выберите ответ.</x:v>
      </x:c>
      <x:c r="D225" s="177"/>
      <x:c r="E225" s="177"/>
      <x:c r="F225" s="177"/>
      <x:c r="G225" s="177"/>
      <x:c r="H225" s="178"/>
    </x:row>
    <x:row r="226" ht="30" customHeight="1">
      <x:c r="A226" s="345"/>
      <x:c r="B226" s="346"/>
      <x:c r="C226" s="179"/>
      <x:c r="D226" s="180"/>
      <x:c r="E226" s="180"/>
      <x:c r="F226" s="180"/>
      <x:c r="G226" s="180"/>
      <x:c r="H226" s="181"/>
    </x:row>
    <x:row r="228" ht="24" customHeight="1">
      <x:c r="A228" s="228" t="str">
        <x:v>Вопрос 17 из 25</x:v>
      </x:c>
      <x:c r="B228" s="228"/>
      <x:c r="C228" s="228"/>
      <x:c r="D228" s="228"/>
      <x:c r="E228" s="228"/>
      <x:c r="F228" s="228"/>
      <x:c r="G228" s="228"/>
      <x:c r="H228" s="228"/>
    </x:row>
    <x:row r="229" ht="48" customHeight="1">
      <x:c r="A229" s="243" t="str">
        <x:v>Пластовое давление на вертикальной глубине 4500 м составляет 495 атм. Нормальный градиент пластового давления 0,103 атм/м. В каком состоянии находится пласт?</x:v>
      </x:c>
      <x:c r="B229" s="244"/>
      <x:c r="C229" s="244"/>
      <x:c r="D229" s="244"/>
      <x:c r="E229" s="244"/>
      <x:c r="F229" s="244"/>
      <x:c r="G229" s="244"/>
      <x:c r="H229" s="245"/>
    </x:row>
    <x:row r="230" ht="48" customHeight="1">
      <x:c r="A230" s="246"/>
      <x:c r="B230" s="247"/>
      <x:c r="C230" s="247"/>
      <x:c r="D230" s="247"/>
      <x:c r="E230" s="247"/>
      <x:c r="F230" s="247"/>
      <x:c r="G230" s="247"/>
      <x:c r="H230" s="248"/>
    </x:row>
    <x:row r="231" ht="8" customHeight="1"/>
    <x:row r="232" ht="24" customHeight="1">
      <x:c r="A232" s="253" t="str">
        <x:v>A</x:v>
      </x:c>
      <x:c r="B232" s="99" t="str">
        <x:v>При пониженном давлении.</x:v>
      </x:c>
      <x:c r="C232" s="100"/>
      <x:c r="D232" s="100"/>
      <x:c r="E232" s="100"/>
      <x:c r="F232" s="100"/>
      <x:c r="G232" s="100"/>
      <x:c r="H232" s="101"/>
    </x:row>
    <x:row r="233" ht="24" customHeight="1">
      <x:c r="A233" s="253" t="str">
        <x:v>B</x:v>
      </x:c>
      <x:c r="B233" s="99" t="str">
        <x:v>При нормальном давлении.</x:v>
      </x:c>
      <x:c r="C233" s="100"/>
      <x:c r="D233" s="100"/>
      <x:c r="E233" s="100"/>
      <x:c r="F233" s="100"/>
      <x:c r="G233" s="100"/>
      <x:c r="H233" s="101"/>
    </x:row>
    <x:row r="234" ht="24" customHeight="1">
      <x:c r="A234" s="253" t="str">
        <x:v>C</x:v>
      </x:c>
      <x:c r="B234" s="99" t="str">
        <x:v>При повышенном давлении.</x:v>
      </x:c>
      <x:c r="C234" s="100"/>
      <x:c r="D234" s="100"/>
      <x:c r="E234" s="100"/>
      <x:c r="F234" s="100"/>
      <x:c r="G234" s="100"/>
      <x:c r="H234" s="101"/>
    </x:row>
    <x:row r="235" ht="8" customHeight="1"/>
    <x:row r="236" ht="28" customHeight="1">
      <x:c r="A236" s="258" t="str">
        <x:v>Ваш ответ:</x:v>
      </x:c>
      <x:c r="B236" s="259"/>
      <x:c r="C236" s="268"/>
      <x:c r="D236" s="269"/>
      <x:c r="E236" s="269"/>
      <x:c r="F236" s="269"/>
      <x:c r="G236" s="269"/>
      <x:c r="H236" s="270"/>
      <x:c r="Z236" t="n">
        <x:f>IF(C236="",0,IF(C236="C",1,0))</x:f>
        <x:v>0</x:v>
      </x:c>
      <x:c r="AA236" t="n">
        <x:f>IF(C236="",0,1)</x:f>
        <x:v>0</x:v>
      </x:c>
    </x:row>
    <x:row r="237" ht="8" customHeight="1"/>
    <x:row r="238" ht="30" customHeight="1">
      <x:c r="A238" s="343" t="str">
        <x:v>Комментарий:</x:v>
      </x:c>
      <x:c r="B238" s="344"/>
      <x:c r="C238" s="176" t="str">
        <x:f>IF(C236="","Выберите ответ.",IF(C236="A","Неверно. Числовой результат не соответствует расчёту исходного теста. Правильный вариант: C.",IF(C236="B","Неверно. Числовой результат не соответствует расчёту исходного теста. Правильный вариант: C.",IF(C236="C","Верно. Это значение соответствует расчёту, заложенному в исходном тесте.","Неверно. Ответ не распознан. Правильный вариант: C."))))</x:f>
        <x:v>Выберите ответ.</x:v>
      </x:c>
      <x:c r="D238" s="177"/>
      <x:c r="E238" s="177"/>
      <x:c r="F238" s="177"/>
      <x:c r="G238" s="177"/>
      <x:c r="H238" s="178"/>
    </x:row>
    <x:row r="239" ht="30" customHeight="1">
      <x:c r="A239" s="345"/>
      <x:c r="B239" s="346"/>
      <x:c r="C239" s="179"/>
      <x:c r="D239" s="180"/>
      <x:c r="E239" s="180"/>
      <x:c r="F239" s="180"/>
      <x:c r="G239" s="180"/>
      <x:c r="H239" s="181"/>
    </x:row>
    <x:row r="241" ht="24" customHeight="1">
      <x:c r="A241" s="228" t="str">
        <x:v>Вопрос 18 из 25</x:v>
      </x:c>
      <x:c r="B241" s="228"/>
      <x:c r="C241" s="228"/>
      <x:c r="D241" s="228"/>
      <x:c r="E241" s="228"/>
      <x:c r="F241" s="228"/>
      <x:c r="G241" s="228"/>
      <x:c r="H241" s="228"/>
    </x:row>
    <x:row r="242" ht="34" customHeight="1">
      <x:c r="A242" s="243" t="str">
        <x:v>Существует ли прямая зависимость величины проницаемости горной породы от её пористости?</x:v>
      </x:c>
      <x:c r="B242" s="244"/>
      <x:c r="C242" s="244"/>
      <x:c r="D242" s="244"/>
      <x:c r="E242" s="244"/>
      <x:c r="F242" s="244"/>
      <x:c r="G242" s="244"/>
      <x:c r="H242" s="245"/>
    </x:row>
    <x:row r="243" ht="34" customHeight="1">
      <x:c r="A243" s="246"/>
      <x:c r="B243" s="247"/>
      <x:c r="C243" s="247"/>
      <x:c r="D243" s="247"/>
      <x:c r="E243" s="247"/>
      <x:c r="F243" s="247"/>
      <x:c r="G243" s="247"/>
      <x:c r="H243" s="248"/>
    </x:row>
    <x:row r="244" ht="8" customHeight="1"/>
    <x:row r="245" ht="24" customHeight="1">
      <x:c r="A245" s="253" t="str">
        <x:v>A</x:v>
      </x:c>
      <x:c r="B245" s="99" t="str">
        <x:v>Существует.</x:v>
      </x:c>
      <x:c r="C245" s="100"/>
      <x:c r="D245" s="100"/>
      <x:c r="E245" s="100"/>
      <x:c r="F245" s="100"/>
      <x:c r="G245" s="100"/>
      <x:c r="H245" s="101"/>
    </x:row>
    <x:row r="246" ht="24" customHeight="1">
      <x:c r="A246" s="253" t="str">
        <x:v>B</x:v>
      </x:c>
      <x:c r="B246" s="99" t="str">
        <x:v>Не существует.</x:v>
      </x:c>
      <x:c r="C246" s="100"/>
      <x:c r="D246" s="100"/>
      <x:c r="E246" s="100"/>
      <x:c r="F246" s="100"/>
      <x:c r="G246" s="100"/>
      <x:c r="H246" s="101"/>
    </x:row>
    <x:row r="247" ht="8" customHeight="1"/>
    <x:row r="248" ht="28" customHeight="1">
      <x:c r="A248" s="258" t="str">
        <x:v>Ваш ответ:</x:v>
      </x:c>
      <x:c r="B248" s="259"/>
      <x:c r="C248" s="268"/>
      <x:c r="D248" s="269"/>
      <x:c r="E248" s="269"/>
      <x:c r="F248" s="269"/>
      <x:c r="G248" s="269"/>
      <x:c r="H248" s="270"/>
      <x:c r="Z248" t="n">
        <x:f>IF(C248="",0,IF(C248="B",1,0))</x:f>
        <x:v>0</x:v>
      </x:c>
      <x:c r="AA248" t="n">
        <x:f>IF(C248="",0,1)</x:f>
        <x:v>0</x:v>
      </x:c>
    </x:row>
    <x:row r="249" ht="8" customHeight="1"/>
    <x:row r="250" ht="30" customHeight="1">
      <x:c r="A250" s="343" t="str">
        <x:v>Комментарий:</x:v>
      </x:c>
      <x:c r="B250" s="344"/>
      <x:c r="C250" s="176" t="str">
        <x:f>IF(C248="","Выберите ответ.",IF(C248="A","Неверно. Формулировка неполная: пропущена часть обязательных признаков. Правильный вариант: B.",IF(C248="B","Верно. Этот вариант соответствует ключу исходного теста.","Неверно. Ответ не распознан. Правильный вариант: B.")))</x:f>
        <x:v>Выберите ответ.</x:v>
      </x:c>
      <x:c r="D250" s="177"/>
      <x:c r="E250" s="177"/>
      <x:c r="F250" s="177"/>
      <x:c r="G250" s="177"/>
      <x:c r="H250" s="178"/>
    </x:row>
    <x:row r="251" ht="30" customHeight="1">
      <x:c r="A251" s="345"/>
      <x:c r="B251" s="346"/>
      <x:c r="C251" s="179"/>
      <x:c r="D251" s="180"/>
      <x:c r="E251" s="180"/>
      <x:c r="F251" s="180"/>
      <x:c r="G251" s="180"/>
      <x:c r="H251" s="181"/>
    </x:row>
    <x:row r="253" ht="24" customHeight="1">
      <x:c r="A253" s="228" t="str">
        <x:v>Вопрос 19 из 25</x:v>
      </x:c>
      <x:c r="B253" s="228"/>
      <x:c r="C253" s="228"/>
      <x:c r="D253" s="228"/>
      <x:c r="E253" s="228"/>
      <x:c r="F253" s="228"/>
      <x:c r="G253" s="228"/>
      <x:c r="H253" s="228"/>
    </x:row>
    <x:row r="254" ht="48" customHeight="1">
      <x:c r="A254" s="243" t="str">
        <x:v>В скважину, наполненную буровым раствором на нефтяной основе, поступило из пласта 2 м³ газа. Какие из ниже перечисленных утверждений верны?</x:v>
      </x:c>
      <x:c r="B254" s="244"/>
      <x:c r="C254" s="244"/>
      <x:c r="D254" s="244"/>
      <x:c r="E254" s="244"/>
      <x:c r="F254" s="244"/>
      <x:c r="G254" s="244"/>
      <x:c r="H254" s="245"/>
    </x:row>
    <x:row r="255" ht="48" customHeight="1">
      <x:c r="A255" s="246"/>
      <x:c r="B255" s="247"/>
      <x:c r="C255" s="247"/>
      <x:c r="D255" s="247"/>
      <x:c r="E255" s="247"/>
      <x:c r="F255" s="247"/>
      <x:c r="G255" s="247"/>
      <x:c r="H255" s="248"/>
    </x:row>
    <x:row r="256" ht="8" customHeight="1"/>
    <x:row r="257" ht="24" customHeight="1">
      <x:c r="A257" s="253" t="str">
        <x:v>A</x:v>
      </x:c>
      <x:c r="B257" s="99" t="str">
        <x:v>Уровень в приемных емкостях быстро повысится.</x:v>
      </x:c>
      <x:c r="C257" s="100"/>
      <x:c r="D257" s="100"/>
      <x:c r="E257" s="100"/>
      <x:c r="F257" s="100"/>
      <x:c r="G257" s="100"/>
      <x:c r="H257" s="101"/>
    </x:row>
    <x:row r="258" ht="24" customHeight="1">
      <x:c r="A258" s="253" t="str">
        <x:v>B</x:v>
      </x:c>
      <x:c r="B258" s="99" t="str">
        <x:v>В большинстве случаев газ растворяется в растворах на нефтяной основе, поэтому быстрого повышения уровня не наблюдается.</x:v>
      </x:c>
      <x:c r="C258" s="100"/>
      <x:c r="D258" s="100"/>
      <x:c r="E258" s="100"/>
      <x:c r="F258" s="100"/>
      <x:c r="G258" s="100"/>
      <x:c r="H258" s="101"/>
    </x:row>
    <x:row r="259" ht="24" customHeight="1">
      <x:c r="A259" s="253" t="str">
        <x:v>C</x:v>
      </x:c>
      <x:c r="B259" s="99" t="str">
        <x:v>Никаких признаков поступления газа наблюдаться не будет.</x:v>
      </x:c>
      <x:c r="C259" s="100"/>
      <x:c r="D259" s="100"/>
      <x:c r="E259" s="100"/>
      <x:c r="F259" s="100"/>
      <x:c r="G259" s="100"/>
      <x:c r="H259" s="101"/>
    </x:row>
    <x:row r="260" ht="8" customHeight="1"/>
    <x:row r="261" ht="28" customHeight="1">
      <x:c r="A261" s="258" t="str">
        <x:v>Ваш ответ:</x:v>
      </x:c>
      <x:c r="B261" s="259"/>
      <x:c r="C261" s="268"/>
      <x:c r="D261" s="269"/>
      <x:c r="E261" s="269"/>
      <x:c r="F261" s="269"/>
      <x:c r="G261" s="269"/>
      <x:c r="H261" s="270"/>
      <x:c r="Z261" t="n">
        <x:f>IF(C261="",0,IF(C261="B",1,0))</x:f>
        <x:v>0</x:v>
      </x:c>
      <x:c r="AA261" t="n">
        <x:f>IF(C261="",0,1)</x:f>
        <x:v>0</x:v>
      </x:c>
    </x:row>
    <x:row r="262" ht="8" customHeight="1"/>
    <x:row r="263" ht="30" customHeight="1">
      <x:c r="A263" s="343" t="str">
        <x:v>Комментарий:</x:v>
      </x:c>
      <x:c r="B263" s="344"/>
      <x:c r="C263" s="176" t="str">
        <x:f>IF(C261="","Выберите ответ.",IF(C261="A","Неверно. Этот вариант не соответствует ключу исходного теста. Правильный вариант: B.",IF(C261="B","Верно. Этот вариант соответствует ключу исходного теста.",IF(C261="C","Неверно. Этот вариант не соответствует ключу исходного теста. Правильный вариант: B.","Неверно. Ответ не распознан. Правильный вариант: B."))))</x:f>
        <x:v>Выберите ответ.</x:v>
      </x:c>
      <x:c r="D263" s="177"/>
      <x:c r="E263" s="177"/>
      <x:c r="F263" s="177"/>
      <x:c r="G263" s="177"/>
      <x:c r="H263" s="178"/>
    </x:row>
    <x:row r="264" ht="30" customHeight="1">
      <x:c r="A264" s="345"/>
      <x:c r="B264" s="346"/>
      <x:c r="C264" s="179"/>
      <x:c r="D264" s="180"/>
      <x:c r="E264" s="180"/>
      <x:c r="F264" s="180"/>
      <x:c r="G264" s="180"/>
      <x:c r="H264" s="181"/>
    </x:row>
    <x:row r="266" ht="24" customHeight="1">
      <x:c r="A266" s="228" t="str">
        <x:v>Вопрос 20 из 25</x:v>
      </x:c>
      <x:c r="B266" s="228"/>
      <x:c r="C266" s="228"/>
      <x:c r="D266" s="228"/>
      <x:c r="E266" s="228"/>
      <x:c r="F266" s="228"/>
      <x:c r="G266" s="228"/>
      <x:c r="H266" s="228"/>
    </x:row>
    <x:row r="267" ht="34" customHeight="1">
      <x:c r="A267" s="243" t="str">
        <x:v>Укажите предельно допустимую «разовую» концентрацию (ПДК) метана для производственных помещений и зон:</x:v>
      </x:c>
      <x:c r="B267" s="244"/>
      <x:c r="C267" s="244"/>
      <x:c r="D267" s="244"/>
      <x:c r="E267" s="244"/>
      <x:c r="F267" s="244"/>
      <x:c r="G267" s="244"/>
      <x:c r="H267" s="245"/>
    </x:row>
    <x:row r="268" ht="34" customHeight="1">
      <x:c r="A268" s="246"/>
      <x:c r="B268" s="247"/>
      <x:c r="C268" s="247"/>
      <x:c r="D268" s="247"/>
      <x:c r="E268" s="247"/>
      <x:c r="F268" s="247"/>
      <x:c r="G268" s="247"/>
      <x:c r="H268" s="248"/>
    </x:row>
    <x:row r="269" ht="8" customHeight="1"/>
    <x:row r="270" ht="24" customHeight="1">
      <x:c r="A270" s="253" t="str">
        <x:v>A</x:v>
      </x:c>
      <x:c r="B270" s="99" t="str">
        <x:v>100 мг/м³</x:v>
      </x:c>
      <x:c r="C270" s="100"/>
      <x:c r="D270" s="100"/>
      <x:c r="E270" s="100"/>
      <x:c r="F270" s="100"/>
      <x:c r="G270" s="100"/>
      <x:c r="H270" s="101"/>
    </x:row>
    <x:row r="271" ht="24" customHeight="1">
      <x:c r="A271" s="253" t="str">
        <x:v>B</x:v>
      </x:c>
      <x:c r="B271" s="99" t="str">
        <x:v>200 мг/м³</x:v>
      </x:c>
      <x:c r="C271" s="100"/>
      <x:c r="D271" s="100"/>
      <x:c r="E271" s="100"/>
      <x:c r="F271" s="100"/>
      <x:c r="G271" s="100"/>
      <x:c r="H271" s="101"/>
    </x:row>
    <x:row r="272" ht="24" customHeight="1">
      <x:c r="A272" s="253" t="str">
        <x:v>C</x:v>
      </x:c>
      <x:c r="B272" s="99" t="str">
        <x:v>300 мг/м³</x:v>
      </x:c>
      <x:c r="C272" s="100"/>
      <x:c r="D272" s="100"/>
      <x:c r="E272" s="100"/>
      <x:c r="F272" s="100"/>
      <x:c r="G272" s="100"/>
      <x:c r="H272" s="101"/>
    </x:row>
    <x:row r="273" ht="24" customHeight="1">
      <x:c r="A273" s="253" t="str">
        <x:v>D</x:v>
      </x:c>
      <x:c r="B273" s="99" t="str">
        <x:v>7000 мг/м³</x:v>
      </x:c>
      <x:c r="C273" s="100"/>
      <x:c r="D273" s="100"/>
      <x:c r="E273" s="100"/>
      <x:c r="F273" s="100"/>
      <x:c r="G273" s="100"/>
      <x:c r="H273" s="101"/>
    </x:row>
    <x:row r="274" ht="8" customHeight="1"/>
    <x:row r="275" ht="28" customHeight="1">
      <x:c r="A275" s="258" t="str">
        <x:v>Ваш ответ:</x:v>
      </x:c>
      <x:c r="B275" s="259"/>
      <x:c r="C275" s="268"/>
      <x:c r="D275" s="269"/>
      <x:c r="E275" s="269"/>
      <x:c r="F275" s="269"/>
      <x:c r="G275" s="269"/>
      <x:c r="H275" s="270"/>
      <x:c r="Z275" t="n">
        <x:f>IF(C275="",0,IF(C275="D",1,0))</x:f>
        <x:v>0</x:v>
      </x:c>
      <x:c r="AA275" t="n">
        <x:f>IF(C275="",0,1)</x:f>
        <x:v>0</x:v>
      </x:c>
    </x:row>
    <x:row r="276" ht="8" customHeight="1"/>
    <x:row r="277" ht="30" customHeight="1">
      <x:c r="A277" s="343" t="str">
        <x:v>Комментарий:</x:v>
      </x:c>
      <x:c r="B277" s="344"/>
      <x:c r="C277" s="176" t="str">
        <x:f>IF(C275="","Выберите ответ.",IF(C275="A","Неверно. Указано другое нормативное значение или предел. Правильный вариант: D.",IF(C275="B","Неверно. Указано другое нормативное значение или предел. Правильный вариант: D.",IF(C275="C","Неверно. Указано другое нормативное значение или предел. Правильный вариант: D.",IF(C275="D","Верно. Указано нормативное значение или предел, приведённый в исходном тесте.","Неверно. Ответ не распознан. Правильный вариант: D.")))))</x:f>
        <x:v>Выберите ответ.</x:v>
      </x:c>
      <x:c r="D277" s="177"/>
      <x:c r="E277" s="177"/>
      <x:c r="F277" s="177"/>
      <x:c r="G277" s="177"/>
      <x:c r="H277" s="178"/>
    </x:row>
    <x:row r="278" ht="30" customHeight="1">
      <x:c r="A278" s="345"/>
      <x:c r="B278" s="346"/>
      <x:c r="C278" s="179"/>
      <x:c r="D278" s="180"/>
      <x:c r="E278" s="180"/>
      <x:c r="F278" s="180"/>
      <x:c r="G278" s="180"/>
      <x:c r="H278" s="181"/>
    </x:row>
    <x:row r="280" ht="24" customHeight="1">
      <x:c r="A280" s="228" t="str">
        <x:v>Вопрос 21 из 25</x:v>
      </x:c>
      <x:c r="B280" s="228"/>
      <x:c r="C280" s="228"/>
      <x:c r="D280" s="228"/>
      <x:c r="E280" s="228"/>
      <x:c r="F280" s="228"/>
      <x:c r="G280" s="228"/>
      <x:c r="H280" s="228"/>
    </x:row>
    <x:row r="281" ht="48" customHeight="1">
      <x:c r="A281" s="243" t="str">
        <x:v>Укажите предельно допустимую «разовую» концентрацию (ПДК) чистого сероводорода для производственных помещений и зон:</x:v>
      </x:c>
      <x:c r="B281" s="244"/>
      <x:c r="C281" s="244"/>
      <x:c r="D281" s="244"/>
      <x:c r="E281" s="244"/>
      <x:c r="F281" s="244"/>
      <x:c r="G281" s="244"/>
      <x:c r="H281" s="245"/>
    </x:row>
    <x:row r="282" ht="48" customHeight="1">
      <x:c r="A282" s="246"/>
      <x:c r="B282" s="247"/>
      <x:c r="C282" s="247"/>
      <x:c r="D282" s="247"/>
      <x:c r="E282" s="247"/>
      <x:c r="F282" s="247"/>
      <x:c r="G282" s="247"/>
      <x:c r="H282" s="248"/>
    </x:row>
    <x:row r="283" ht="8" customHeight="1"/>
    <x:row r="284" ht="24" customHeight="1">
      <x:c r="A284" s="253" t="str">
        <x:v>A</x:v>
      </x:c>
      <x:c r="B284" s="99" t="str">
        <x:v>10 мг/м³</x:v>
      </x:c>
      <x:c r="C284" s="100"/>
      <x:c r="D284" s="100"/>
      <x:c r="E284" s="100"/>
      <x:c r="F284" s="100"/>
      <x:c r="G284" s="100"/>
      <x:c r="H284" s="101"/>
    </x:row>
    <x:row r="285" ht="24" customHeight="1">
      <x:c r="A285" s="253" t="str">
        <x:v>B</x:v>
      </x:c>
      <x:c r="B285" s="99" t="str">
        <x:v>20 мг/м³</x:v>
      </x:c>
      <x:c r="C285" s="100"/>
      <x:c r="D285" s="100"/>
      <x:c r="E285" s="100"/>
      <x:c r="F285" s="100"/>
      <x:c r="G285" s="100"/>
      <x:c r="H285" s="101"/>
    </x:row>
    <x:row r="286" ht="24" customHeight="1">
      <x:c r="A286" s="253" t="str">
        <x:v>C</x:v>
      </x:c>
      <x:c r="B286" s="99" t="str">
        <x:v>30 мг/м³</x:v>
      </x:c>
      <x:c r="C286" s="100"/>
      <x:c r="D286" s="100"/>
      <x:c r="E286" s="100"/>
      <x:c r="F286" s="100"/>
      <x:c r="G286" s="100"/>
      <x:c r="H286" s="101"/>
    </x:row>
    <x:row r="287" ht="8" customHeight="1"/>
    <x:row r="288" ht="28" customHeight="1">
      <x:c r="A288" s="258" t="str">
        <x:v>Ваш ответ:</x:v>
      </x:c>
      <x:c r="B288" s="259"/>
      <x:c r="C288" s="268"/>
      <x:c r="D288" s="269"/>
      <x:c r="E288" s="269"/>
      <x:c r="F288" s="269"/>
      <x:c r="G288" s="269"/>
      <x:c r="H288" s="270"/>
      <x:c r="Z288" t="n">
        <x:f>IF(C288="",0,IF(C288="A",1,0))</x:f>
        <x:v>0</x:v>
      </x:c>
      <x:c r="AA288" t="n">
        <x:f>IF(C288="",0,1)</x:f>
        <x:v>0</x:v>
      </x:c>
    </x:row>
    <x:row r="289" ht="8" customHeight="1"/>
    <x:row r="290" ht="30" customHeight="1">
      <x:c r="A290" s="343" t="str">
        <x:v>Комментарий:</x:v>
      </x:c>
      <x:c r="B290" s="344"/>
      <x:c r="C290" s="176" t="str">
        <x:f>IF(C288="","Выберите ответ.",IF(C288="A","Верно. Указано нормативное значение или предел, приведённый в исходном тесте.",IF(C288="B","Неверно. Указано другое нормативное значение или предел. Правильный вариант: A.",IF(C288="C","Неверно. Указано другое нормативное значение или предел. Правильный вариант: A.","Неверно. Ответ не распознан. Правильный вариант: A."))))</x:f>
        <x:v>Выберите ответ.</x:v>
      </x:c>
      <x:c r="D290" s="177"/>
      <x:c r="E290" s="177"/>
      <x:c r="F290" s="177"/>
      <x:c r="G290" s="177"/>
      <x:c r="H290" s="178"/>
    </x:row>
    <x:row r="291" ht="30" customHeight="1">
      <x:c r="A291" s="345"/>
      <x:c r="B291" s="346"/>
      <x:c r="C291" s="179"/>
      <x:c r="D291" s="180"/>
      <x:c r="E291" s="180"/>
      <x:c r="F291" s="180"/>
      <x:c r="G291" s="180"/>
      <x:c r="H291" s="181"/>
    </x:row>
    <x:row r="293" ht="24" customHeight="1">
      <x:c r="A293" s="228" t="str">
        <x:v>Вопрос 22 из 25</x:v>
      </x:c>
      <x:c r="B293" s="228"/>
      <x:c r="C293" s="228"/>
      <x:c r="D293" s="228"/>
      <x:c r="E293" s="228"/>
      <x:c r="F293" s="228"/>
      <x:c r="G293" s="228"/>
      <x:c r="H293" s="228"/>
    </x:row>
    <x:row r="294" ht="48" customHeight="1">
      <x:c r="A294" s="243" t="str">
        <x:v>Укажите предельно допустимую «разовую» концентрацию (ПДК) сероводорода с примесями углеводородов для производственных помещений и зон:</x:v>
      </x:c>
      <x:c r="B294" s="244"/>
      <x:c r="C294" s="244"/>
      <x:c r="D294" s="244"/>
      <x:c r="E294" s="244"/>
      <x:c r="F294" s="244"/>
      <x:c r="G294" s="244"/>
      <x:c r="H294" s="245"/>
    </x:row>
    <x:row r="295" ht="48" customHeight="1">
      <x:c r="A295" s="246"/>
      <x:c r="B295" s="247"/>
      <x:c r="C295" s="247"/>
      <x:c r="D295" s="247"/>
      <x:c r="E295" s="247"/>
      <x:c r="F295" s="247"/>
      <x:c r="G295" s="247"/>
      <x:c r="H295" s="248"/>
    </x:row>
    <x:row r="296" ht="8" customHeight="1"/>
    <x:row r="297" ht="24" customHeight="1">
      <x:c r="A297" s="253" t="str">
        <x:v>A</x:v>
      </x:c>
      <x:c r="B297" s="99" t="str">
        <x:v>2 мг/м³</x:v>
      </x:c>
      <x:c r="C297" s="100"/>
      <x:c r="D297" s="100"/>
      <x:c r="E297" s="100"/>
      <x:c r="F297" s="100"/>
      <x:c r="G297" s="100"/>
      <x:c r="H297" s="101"/>
    </x:row>
    <x:row r="298" ht="24" customHeight="1">
      <x:c r="A298" s="253" t="str">
        <x:v>B</x:v>
      </x:c>
      <x:c r="B298" s="99" t="str">
        <x:v>3 мг/м³</x:v>
      </x:c>
      <x:c r="C298" s="100"/>
      <x:c r="D298" s="100"/>
      <x:c r="E298" s="100"/>
      <x:c r="F298" s="100"/>
      <x:c r="G298" s="100"/>
      <x:c r="H298" s="101"/>
    </x:row>
    <x:row r="299" ht="24" customHeight="1">
      <x:c r="A299" s="253" t="str">
        <x:v>C</x:v>
      </x:c>
      <x:c r="B299" s="99" t="str">
        <x:v>5 мг/м³</x:v>
      </x:c>
      <x:c r="C299" s="100"/>
      <x:c r="D299" s="100"/>
      <x:c r="E299" s="100"/>
      <x:c r="F299" s="100"/>
      <x:c r="G299" s="100"/>
      <x:c r="H299" s="101"/>
    </x:row>
    <x:row r="300" ht="8" customHeight="1"/>
    <x:row r="301" ht="28" customHeight="1">
      <x:c r="A301" s="258" t="str">
        <x:v>Ваш ответ:</x:v>
      </x:c>
      <x:c r="B301" s="259"/>
      <x:c r="C301" s="268"/>
      <x:c r="D301" s="269"/>
      <x:c r="E301" s="269"/>
      <x:c r="F301" s="269"/>
      <x:c r="G301" s="269"/>
      <x:c r="H301" s="270"/>
      <x:c r="Z301" t="n">
        <x:f>IF(C301="",0,IF(C301="B",1,0))</x:f>
        <x:v>0</x:v>
      </x:c>
      <x:c r="AA301" t="n">
        <x:f>IF(C301="",0,1)</x:f>
        <x:v>0</x:v>
      </x:c>
    </x:row>
    <x:row r="302" ht="8" customHeight="1"/>
    <x:row r="303" ht="30" customHeight="1">
      <x:c r="A303" s="343" t="str">
        <x:v>Комментарий:</x:v>
      </x:c>
      <x:c r="B303" s="344"/>
      <x:c r="C303" s="176" t="str">
        <x:f>IF(C301="","Выберите ответ.",IF(C301="A","Неверно. Указано другое нормативное значение или предел. Правильный вариант: B.",IF(C301="B","Верно. Указано нормативное значение или предел, приведённый в исходном тесте.",IF(C301="C","Неверно. Указано другое нормативное значение или предел. Правильный вариант: B.","Неверно. Ответ не распознан. Правильный вариант: B."))))</x:f>
        <x:v>Выберите ответ.</x:v>
      </x:c>
      <x:c r="D303" s="177"/>
      <x:c r="E303" s="177"/>
      <x:c r="F303" s="177"/>
      <x:c r="G303" s="177"/>
      <x:c r="H303" s="178"/>
    </x:row>
    <x:row r="304" ht="30" customHeight="1">
      <x:c r="A304" s="345"/>
      <x:c r="B304" s="346"/>
      <x:c r="C304" s="179"/>
      <x:c r="D304" s="180"/>
      <x:c r="E304" s="180"/>
      <x:c r="F304" s="180"/>
      <x:c r="G304" s="180"/>
      <x:c r="H304" s="181"/>
    </x:row>
    <x:row r="306" ht="24" customHeight="1">
      <x:c r="A306" s="228" t="str">
        <x:v>Вопрос 23 из 25</x:v>
      </x:c>
      <x:c r="B306" s="228"/>
      <x:c r="C306" s="228"/>
      <x:c r="D306" s="228"/>
      <x:c r="E306" s="228"/>
      <x:c r="F306" s="228"/>
      <x:c r="G306" s="228"/>
      <x:c r="H306" s="228"/>
    </x:row>
    <x:row r="307" ht="48" customHeight="1">
      <x:c r="A307" s="243" t="str">
        <x:v>Укажите предельно допустимую «разовую» концентрацию (ПДК) сернистого ангидрида для производственных помещений и зон:</x:v>
      </x:c>
      <x:c r="B307" s="244"/>
      <x:c r="C307" s="244"/>
      <x:c r="D307" s="244"/>
      <x:c r="E307" s="244"/>
      <x:c r="F307" s="244"/>
      <x:c r="G307" s="244"/>
      <x:c r="H307" s="245"/>
    </x:row>
    <x:row r="308" ht="48" customHeight="1">
      <x:c r="A308" s="246"/>
      <x:c r="B308" s="247"/>
      <x:c r="C308" s="247"/>
      <x:c r="D308" s="247"/>
      <x:c r="E308" s="247"/>
      <x:c r="F308" s="247"/>
      <x:c r="G308" s="247"/>
      <x:c r="H308" s="248"/>
    </x:row>
    <x:row r="309" ht="8" customHeight="1"/>
    <x:row r="310" ht="24" customHeight="1">
      <x:c r="A310" s="253" t="str">
        <x:v>A</x:v>
      </x:c>
      <x:c r="B310" s="99" t="str">
        <x:v>10 мг/м³</x:v>
      </x:c>
      <x:c r="C310" s="100"/>
      <x:c r="D310" s="100"/>
      <x:c r="E310" s="100"/>
      <x:c r="F310" s="100"/>
      <x:c r="G310" s="100"/>
      <x:c r="H310" s="101"/>
    </x:row>
    <x:row r="311" ht="24" customHeight="1">
      <x:c r="A311" s="253" t="str">
        <x:v>B</x:v>
      </x:c>
      <x:c r="B311" s="99" t="str">
        <x:v>20 мг/м³</x:v>
      </x:c>
      <x:c r="C311" s="100"/>
      <x:c r="D311" s="100"/>
      <x:c r="E311" s="100"/>
      <x:c r="F311" s="100"/>
      <x:c r="G311" s="100"/>
      <x:c r="H311" s="101"/>
    </x:row>
    <x:row r="312" ht="24" customHeight="1">
      <x:c r="A312" s="253" t="str">
        <x:v>C</x:v>
      </x:c>
      <x:c r="B312" s="99" t="str">
        <x:v>30 мг/м³</x:v>
      </x:c>
      <x:c r="C312" s="100"/>
      <x:c r="D312" s="100"/>
      <x:c r="E312" s="100"/>
      <x:c r="F312" s="100"/>
      <x:c r="G312" s="100"/>
      <x:c r="H312" s="101"/>
    </x:row>
    <x:row r="313" ht="8" customHeight="1"/>
    <x:row r="314" ht="28" customHeight="1">
      <x:c r="A314" s="258" t="str">
        <x:v>Ваш ответ:</x:v>
      </x:c>
      <x:c r="B314" s="259"/>
      <x:c r="C314" s="268"/>
      <x:c r="D314" s="269"/>
      <x:c r="E314" s="269"/>
      <x:c r="F314" s="269"/>
      <x:c r="G314" s="269"/>
      <x:c r="H314" s="270"/>
      <x:c r="Z314" t="n">
        <x:f>IF(C314="",0,IF(C314="A",1,0))</x:f>
        <x:v>0</x:v>
      </x:c>
      <x:c r="AA314" t="n">
        <x:f>IF(C314="",0,1)</x:f>
        <x:v>0</x:v>
      </x:c>
    </x:row>
    <x:row r="315" ht="8" customHeight="1"/>
    <x:row r="316" ht="30" customHeight="1">
      <x:c r="A316" s="343" t="str">
        <x:v>Комментарий:</x:v>
      </x:c>
      <x:c r="B316" s="344"/>
      <x:c r="C316" s="176" t="str">
        <x:f>IF(C314="","Выберите ответ.",IF(C314="A","Верно. Указано нормативное значение или предел, приведённый в исходном тесте.",IF(C314="B","Неверно. Указано другое нормативное значение или предел. Правильный вариант: A.",IF(C314="C","Неверно. Указано другое нормативное значение или предел. Правильный вариант: A.","Неверно. Ответ не распознан. Правильный вариант: A."))))</x:f>
        <x:v>Выберите ответ.</x:v>
      </x:c>
      <x:c r="D316" s="177"/>
      <x:c r="E316" s="177"/>
      <x:c r="F316" s="177"/>
      <x:c r="G316" s="177"/>
      <x:c r="H316" s="178"/>
    </x:row>
    <x:row r="317" ht="30" customHeight="1">
      <x:c r="A317" s="345"/>
      <x:c r="B317" s="346"/>
      <x:c r="C317" s="179"/>
      <x:c r="D317" s="180"/>
      <x:c r="E317" s="180"/>
      <x:c r="F317" s="180"/>
      <x:c r="G317" s="180"/>
      <x:c r="H317" s="181"/>
    </x:row>
    <x:row r="319" ht="24" customHeight="1">
      <x:c r="A319" s="228" t="str">
        <x:v>Вопрос 24 из 25</x:v>
      </x:c>
      <x:c r="B319" s="228"/>
      <x:c r="C319" s="228"/>
      <x:c r="D319" s="228"/>
      <x:c r="E319" s="228"/>
      <x:c r="F319" s="228"/>
      <x:c r="G319" s="228"/>
      <x:c r="H319" s="228"/>
    </x:row>
    <x:row r="320" ht="34" customHeight="1">
      <x:c r="A320" s="243" t="str">
        <x:v>Укажите предельно допустимую «разовую» концентрацию (ПДК) паров метанола для производственных помещений и зон:</x:v>
      </x:c>
      <x:c r="B320" s="244"/>
      <x:c r="C320" s="244"/>
      <x:c r="D320" s="244"/>
      <x:c r="E320" s="244"/>
      <x:c r="F320" s="244"/>
      <x:c r="G320" s="244"/>
      <x:c r="H320" s="245"/>
    </x:row>
    <x:row r="321" ht="34" customHeight="1">
      <x:c r="A321" s="246"/>
      <x:c r="B321" s="247"/>
      <x:c r="C321" s="247"/>
      <x:c r="D321" s="247"/>
      <x:c r="E321" s="247"/>
      <x:c r="F321" s="247"/>
      <x:c r="G321" s="247"/>
      <x:c r="H321" s="248"/>
    </x:row>
    <x:row r="322" ht="8" customHeight="1"/>
    <x:row r="323" ht="24" customHeight="1">
      <x:c r="A323" s="253" t="str">
        <x:v>A</x:v>
      </x:c>
      <x:c r="B323" s="99" t="str">
        <x:v>5 мг/м³</x:v>
      </x:c>
      <x:c r="C323" s="100"/>
      <x:c r="D323" s="100"/>
      <x:c r="E323" s="100"/>
      <x:c r="F323" s="100"/>
      <x:c r="G323" s="100"/>
      <x:c r="H323" s="101"/>
    </x:row>
    <x:row r="324" ht="24" customHeight="1">
      <x:c r="A324" s="253" t="str">
        <x:v>B</x:v>
      </x:c>
      <x:c r="B324" s="99" t="str">
        <x:v>10 мг/м³</x:v>
      </x:c>
      <x:c r="C324" s="100"/>
      <x:c r="D324" s="100"/>
      <x:c r="E324" s="100"/>
      <x:c r="F324" s="100"/>
      <x:c r="G324" s="100"/>
      <x:c r="H324" s="101"/>
    </x:row>
    <x:row r="325" ht="24" customHeight="1">
      <x:c r="A325" s="253" t="str">
        <x:v>C</x:v>
      </x:c>
      <x:c r="B325" s="99" t="str">
        <x:v>15 мг/м³</x:v>
      </x:c>
      <x:c r="C325" s="100"/>
      <x:c r="D325" s="100"/>
      <x:c r="E325" s="100"/>
      <x:c r="F325" s="100"/>
      <x:c r="G325" s="100"/>
      <x:c r="H325" s="101"/>
    </x:row>
    <x:row r="326" ht="8" customHeight="1"/>
    <x:row r="327" ht="28" customHeight="1">
      <x:c r="A327" s="258" t="str">
        <x:v>Ваш ответ:</x:v>
      </x:c>
      <x:c r="B327" s="259"/>
      <x:c r="C327" s="268"/>
      <x:c r="D327" s="269"/>
      <x:c r="E327" s="269"/>
      <x:c r="F327" s="269"/>
      <x:c r="G327" s="269"/>
      <x:c r="H327" s="270"/>
      <x:c r="Z327" t="n">
        <x:f>IF(C327="",0,IF(C327="A",1,0))</x:f>
        <x:v>0</x:v>
      </x:c>
      <x:c r="AA327" t="n">
        <x:f>IF(C327="",0,1)</x:f>
        <x:v>0</x:v>
      </x:c>
    </x:row>
    <x:row r="328" ht="8" customHeight="1"/>
    <x:row r="329" ht="30" customHeight="1">
      <x:c r="A329" s="343" t="str">
        <x:v>Комментарий:</x:v>
      </x:c>
      <x:c r="B329" s="344"/>
      <x:c r="C329" s="176" t="str">
        <x:f>IF(C327="","Выберите ответ.",IF(C327="A","Верно. Указано нормативное значение или предел, приведённый в исходном тесте.",IF(C327="B","Неверно. Указано другое нормативное значение или предел. Правильный вариант: A.",IF(C327="C","Неверно. Вариант содержит лишнее условие, которого нет в правильной формулировке. Правильный вариант: A.","Неверно. Ответ не распознан. Правильный вариант: A."))))</x:f>
        <x:v>Выберите ответ.</x:v>
      </x:c>
      <x:c r="D329" s="177"/>
      <x:c r="E329" s="177"/>
      <x:c r="F329" s="177"/>
      <x:c r="G329" s="177"/>
      <x:c r="H329" s="178"/>
    </x:row>
    <x:row r="330" ht="30" customHeight="1">
      <x:c r="A330" s="345"/>
      <x:c r="B330" s="346"/>
      <x:c r="C330" s="179"/>
      <x:c r="D330" s="180"/>
      <x:c r="E330" s="180"/>
      <x:c r="F330" s="180"/>
      <x:c r="G330" s="180"/>
      <x:c r="H330" s="181"/>
    </x:row>
    <x:row r="332" ht="24" customHeight="1">
      <x:c r="A332" s="228" t="str">
        <x:v>Вопрос 25 из 25</x:v>
      </x:c>
      <x:c r="B332" s="228"/>
      <x:c r="C332" s="228"/>
      <x:c r="D332" s="228"/>
      <x:c r="E332" s="228"/>
      <x:c r="F332" s="228"/>
      <x:c r="G332" s="228"/>
      <x:c r="H332" s="228"/>
    </x:row>
    <x:row r="333" ht="34" customHeight="1">
      <x:c r="A333" s="243" t="str">
        <x:v>Укажите концентрационные пределы распространения пламени метана в объемных долях:</x:v>
      </x:c>
      <x:c r="B333" s="244"/>
      <x:c r="C333" s="244"/>
      <x:c r="D333" s="244"/>
      <x:c r="E333" s="244"/>
      <x:c r="F333" s="244"/>
      <x:c r="G333" s="244"/>
      <x:c r="H333" s="245"/>
    </x:row>
    <x:row r="334" ht="34" customHeight="1">
      <x:c r="A334" s="246"/>
      <x:c r="B334" s="247"/>
      <x:c r="C334" s="247"/>
      <x:c r="D334" s="247"/>
      <x:c r="E334" s="247"/>
      <x:c r="F334" s="247"/>
      <x:c r="G334" s="247"/>
      <x:c r="H334" s="248"/>
    </x:row>
    <x:row r="335" ht="8" customHeight="1"/>
    <x:row r="336" ht="24" customHeight="1">
      <x:c r="A336" s="253" t="str">
        <x:v>A</x:v>
      </x:c>
      <x:c r="B336" s="99" t="str">
        <x:v>3–16 %</x:v>
      </x:c>
      <x:c r="C336" s="100"/>
      <x:c r="D336" s="100"/>
      <x:c r="E336" s="100"/>
      <x:c r="F336" s="100"/>
      <x:c r="G336" s="100"/>
      <x:c r="H336" s="101"/>
    </x:row>
    <x:row r="337" ht="24" customHeight="1">
      <x:c r="A337" s="253" t="str">
        <x:v>B</x:v>
      </x:c>
      <x:c r="B337" s="99" t="str">
        <x:v>4,4–17 %</x:v>
      </x:c>
      <x:c r="C337" s="100"/>
      <x:c r="D337" s="100"/>
      <x:c r="E337" s="100"/>
      <x:c r="F337" s="100"/>
      <x:c r="G337" s="100"/>
      <x:c r="H337" s="101"/>
    </x:row>
    <x:row r="338" ht="24" customHeight="1">
      <x:c r="A338" s="253" t="str">
        <x:v>C</x:v>
      </x:c>
      <x:c r="B338" s="99" t="str">
        <x:v>10–25 %</x:v>
      </x:c>
      <x:c r="C338" s="100"/>
      <x:c r="D338" s="100"/>
      <x:c r="E338" s="100"/>
      <x:c r="F338" s="100"/>
      <x:c r="G338" s="100"/>
      <x:c r="H338" s="101"/>
    </x:row>
    <x:row r="339" ht="8" customHeight="1"/>
    <x:row r="340" ht="28" customHeight="1">
      <x:c r="A340" s="258" t="str">
        <x:v>Ваш ответ:</x:v>
      </x:c>
      <x:c r="B340" s="259"/>
      <x:c r="C340" s="268"/>
      <x:c r="D340" s="269"/>
      <x:c r="E340" s="269"/>
      <x:c r="F340" s="269"/>
      <x:c r="G340" s="269"/>
      <x:c r="H340" s="270"/>
      <x:c r="Z340" t="n">
        <x:f>IF(C340="",0,IF(C340="B",1,0))</x:f>
        <x:v>0</x:v>
      </x:c>
      <x:c r="AA340" t="n">
        <x:f>IF(C340="",0,1)</x:f>
        <x:v>0</x:v>
      </x:c>
    </x:row>
    <x:row r="341" ht="8" customHeight="1"/>
    <x:row r="342" ht="30" customHeight="1">
      <x:c r="A342" s="343" t="str">
        <x:v>Комментарий:</x:v>
      </x:c>
      <x:c r="B342" s="344"/>
      <x:c r="C342" s="176" t="str">
        <x:f>IF(C340="","Выберите ответ.",IF(C340="A","Неверно. Указано другое нормативное значение или предел. Правильный вариант: B.",IF(C340="B","Верно. Указано нормативное значение или предел, приведённый в исходном тесте.",IF(C340="C","Неверно. Указано другое нормативное значение или предел. Правильный вариант: B.","Неверно. Ответ не распознан. Правильный вариант: B."))))</x:f>
        <x:v>Выберите ответ.</x:v>
      </x:c>
      <x:c r="D342" s="177"/>
      <x:c r="E342" s="177"/>
      <x:c r="F342" s="177"/>
      <x:c r="G342" s="177"/>
      <x:c r="H342" s="178"/>
    </x:row>
    <x:row r="343" ht="30" customHeight="1">
      <x:c r="A343" s="345"/>
      <x:c r="B343" s="346"/>
      <x:c r="C343" s="179"/>
      <x:c r="D343" s="180"/>
      <x:c r="E343" s="180"/>
      <x:c r="F343" s="180"/>
      <x:c r="G343" s="180"/>
      <x:c r="H343" s="181"/>
    </x:row>
    <x:row r="345" ht="10" customHeight="1"/>
  </x:sheetData>
  <x:mergeCells>
    <x:mergeCell ref="A1:H1"/>
    <x:mergeCell ref="A2:H2"/>
    <x:mergeCell ref="A3:B3"/>
    <x:mergeCell ref="D3:E3"/>
    <x:mergeCell ref="A5:H5"/>
    <x:mergeCell ref="A6:H7"/>
    <x:mergeCell ref="B9:H9"/>
    <x:mergeCell ref="B10:H10"/>
    <x:mergeCell ref="A12:B12"/>
    <x:mergeCell ref="C12:H12"/>
    <x:mergeCell ref="A14:B15"/>
    <x:mergeCell ref="C14:H15"/>
    <x:mergeCell ref="A17:H17"/>
    <x:mergeCell ref="A18:H19"/>
    <x:mergeCell ref="B21:H21"/>
    <x:mergeCell ref="B22:H22"/>
    <x:mergeCell ref="B23:H23"/>
    <x:mergeCell ref="A25:B25"/>
    <x:mergeCell ref="C25:H25"/>
    <x:mergeCell ref="A27:B28"/>
    <x:mergeCell ref="C27:H28"/>
    <x:mergeCell ref="A30:H30"/>
    <x:mergeCell ref="A31:H32"/>
    <x:mergeCell ref="B34:H34"/>
    <x:mergeCell ref="B35:H35"/>
    <x:mergeCell ref="B36:H36"/>
    <x:mergeCell ref="A38:B38"/>
    <x:mergeCell ref="C38:H38"/>
    <x:mergeCell ref="A40:B41"/>
    <x:mergeCell ref="C40:H41"/>
    <x:mergeCell ref="A43:H43"/>
    <x:mergeCell ref="A44:H45"/>
    <x:mergeCell ref="B47:H47"/>
    <x:mergeCell ref="B48:H48"/>
    <x:mergeCell ref="B49:H49"/>
    <x:mergeCell ref="A51:B51"/>
    <x:mergeCell ref="C51:H51"/>
    <x:mergeCell ref="A53:B54"/>
    <x:mergeCell ref="C53:H54"/>
    <x:mergeCell ref="A56:H56"/>
    <x:mergeCell ref="A57:H58"/>
    <x:mergeCell ref="B60:H60"/>
    <x:mergeCell ref="B61:H61"/>
    <x:mergeCell ref="B62:H62"/>
    <x:mergeCell ref="A64:B64"/>
    <x:mergeCell ref="C64:H64"/>
    <x:mergeCell ref="A66:B67"/>
    <x:mergeCell ref="C66:H67"/>
    <x:mergeCell ref="A69:H69"/>
    <x:mergeCell ref="A70:H71"/>
    <x:mergeCell ref="B73:H73"/>
    <x:mergeCell ref="B74:H74"/>
    <x:mergeCell ref="B75:H75"/>
    <x:mergeCell ref="B76:H76"/>
    <x:mergeCell ref="B77:H77"/>
    <x:mergeCell ref="B78:H78"/>
    <x:mergeCell ref="A80:B80"/>
    <x:mergeCell ref="C80:H80"/>
    <x:mergeCell ref="A82:B83"/>
    <x:mergeCell ref="C82:H83"/>
    <x:mergeCell ref="A85:H85"/>
    <x:mergeCell ref="A86:H87"/>
    <x:mergeCell ref="B89:H89"/>
    <x:mergeCell ref="B90:H90"/>
    <x:mergeCell ref="B91:H91"/>
    <x:mergeCell ref="B92:H92"/>
    <x:mergeCell ref="B93:H93"/>
    <x:mergeCell ref="B94:H94"/>
    <x:mergeCell ref="A96:B96"/>
    <x:mergeCell ref="C96:H96"/>
    <x:mergeCell ref="A98:B99"/>
    <x:mergeCell ref="C98:H99"/>
    <x:mergeCell ref="A101:H101"/>
    <x:mergeCell ref="A102:H103"/>
    <x:mergeCell ref="B105:H105"/>
    <x:mergeCell ref="B106:H106"/>
    <x:mergeCell ref="B107:H107"/>
    <x:mergeCell ref="B108:H108"/>
    <x:mergeCell ref="B109:H109"/>
    <x:mergeCell ref="A111:B111"/>
    <x:mergeCell ref="C111:H111"/>
    <x:mergeCell ref="A113:B114"/>
    <x:mergeCell ref="C113:H114"/>
    <x:mergeCell ref="A116:H116"/>
    <x:mergeCell ref="A117:H118"/>
    <x:mergeCell ref="B120:H120"/>
    <x:mergeCell ref="B121:H121"/>
    <x:mergeCell ref="B122:H122"/>
    <x:mergeCell ref="A124:B124"/>
    <x:mergeCell ref="C124:H124"/>
    <x:mergeCell ref="A126:B127"/>
    <x:mergeCell ref="C126:H127"/>
    <x:mergeCell ref="A129:H129"/>
    <x:mergeCell ref="A130:H131"/>
    <x:mergeCell ref="B133:H133"/>
    <x:mergeCell ref="B134:H134"/>
    <x:mergeCell ref="B135:H135"/>
    <x:mergeCell ref="B136:H136"/>
    <x:mergeCell ref="A138:B138"/>
    <x:mergeCell ref="C138:H138"/>
    <x:mergeCell ref="A140:B141"/>
    <x:mergeCell ref="C140:H141"/>
    <x:mergeCell ref="A143:H143"/>
    <x:mergeCell ref="A144:H145"/>
    <x:mergeCell ref="B147:H147"/>
    <x:mergeCell ref="B148:H148"/>
    <x:mergeCell ref="B149:H149"/>
    <x:mergeCell ref="B150:H150"/>
    <x:mergeCell ref="B151:H151"/>
    <x:mergeCell ref="B152:H152"/>
    <x:mergeCell ref="A154:B154"/>
    <x:mergeCell ref="C154:H154"/>
    <x:mergeCell ref="A156:B157"/>
    <x:mergeCell ref="C156:H157"/>
    <x:mergeCell ref="A159:H159"/>
    <x:mergeCell ref="A160:H161"/>
    <x:mergeCell ref="B163:H163"/>
    <x:mergeCell ref="B164:H164"/>
    <x:mergeCell ref="B165:H165"/>
    <x:mergeCell ref="A167:B167"/>
    <x:mergeCell ref="C167:H167"/>
    <x:mergeCell ref="A169:B170"/>
    <x:mergeCell ref="C169:H170"/>
    <x:mergeCell ref="A172:H172"/>
    <x:mergeCell ref="A173:H174"/>
    <x:mergeCell ref="B176:H176"/>
    <x:mergeCell ref="B177:H177"/>
    <x:mergeCell ref="B178:H178"/>
    <x:mergeCell ref="B179:H179"/>
    <x:mergeCell ref="A181:B181"/>
    <x:mergeCell ref="C181:H181"/>
    <x:mergeCell ref="A183:B184"/>
    <x:mergeCell ref="C183:H184"/>
    <x:mergeCell ref="A186:H186"/>
    <x:mergeCell ref="A187:H188"/>
    <x:mergeCell ref="B190:H190"/>
    <x:mergeCell ref="B191:H191"/>
    <x:mergeCell ref="B192:H192"/>
    <x:mergeCell ref="B193:H193"/>
    <x:mergeCell ref="A195:B195"/>
    <x:mergeCell ref="C195:H195"/>
    <x:mergeCell ref="A197:B198"/>
    <x:mergeCell ref="C197:H198"/>
    <x:mergeCell ref="A200:H200"/>
    <x:mergeCell ref="A201:H202"/>
    <x:mergeCell ref="B204:H204"/>
    <x:mergeCell ref="B205:H205"/>
    <x:mergeCell ref="B206:H206"/>
    <x:mergeCell ref="B207:H207"/>
    <x:mergeCell ref="A209:B209"/>
    <x:mergeCell ref="C209:H209"/>
    <x:mergeCell ref="A211:B212"/>
    <x:mergeCell ref="C211:H212"/>
    <x:mergeCell ref="A214:H214"/>
    <x:mergeCell ref="A215:H216"/>
    <x:mergeCell ref="B218:H218"/>
    <x:mergeCell ref="B219:H219"/>
    <x:mergeCell ref="B220:H220"/>
    <x:mergeCell ref="B221:H221"/>
    <x:mergeCell ref="A223:B223"/>
    <x:mergeCell ref="C223:H223"/>
    <x:mergeCell ref="A225:B226"/>
    <x:mergeCell ref="C225:H226"/>
    <x:mergeCell ref="A228:H228"/>
    <x:mergeCell ref="A229:H230"/>
    <x:mergeCell ref="B232:H232"/>
    <x:mergeCell ref="B233:H233"/>
    <x:mergeCell ref="B234:H234"/>
    <x:mergeCell ref="A236:B236"/>
    <x:mergeCell ref="C236:H236"/>
    <x:mergeCell ref="A238:B239"/>
    <x:mergeCell ref="C238:H239"/>
    <x:mergeCell ref="A241:H241"/>
    <x:mergeCell ref="A242:H243"/>
    <x:mergeCell ref="B245:H245"/>
    <x:mergeCell ref="B246:H246"/>
    <x:mergeCell ref="A248:B248"/>
    <x:mergeCell ref="C248:H248"/>
    <x:mergeCell ref="A250:B251"/>
    <x:mergeCell ref="C250:H251"/>
    <x:mergeCell ref="A253:H253"/>
    <x:mergeCell ref="A254:H255"/>
    <x:mergeCell ref="B257:H257"/>
    <x:mergeCell ref="B258:H258"/>
    <x:mergeCell ref="B259:H259"/>
    <x:mergeCell ref="A261:B261"/>
    <x:mergeCell ref="C261:H261"/>
    <x:mergeCell ref="A263:B264"/>
    <x:mergeCell ref="C263:H264"/>
    <x:mergeCell ref="A266:H266"/>
    <x:mergeCell ref="A267:H268"/>
    <x:mergeCell ref="B270:H270"/>
    <x:mergeCell ref="B271:H271"/>
    <x:mergeCell ref="B272:H272"/>
    <x:mergeCell ref="B273:H273"/>
    <x:mergeCell ref="A275:B275"/>
    <x:mergeCell ref="C275:H275"/>
    <x:mergeCell ref="A277:B278"/>
    <x:mergeCell ref="C277:H278"/>
    <x:mergeCell ref="A280:H280"/>
    <x:mergeCell ref="A281:H282"/>
    <x:mergeCell ref="B284:H284"/>
    <x:mergeCell ref="B285:H285"/>
    <x:mergeCell ref="B286:H286"/>
    <x:mergeCell ref="A288:B288"/>
    <x:mergeCell ref="C288:H288"/>
    <x:mergeCell ref="A290:B291"/>
    <x:mergeCell ref="C290:H291"/>
    <x:mergeCell ref="A293:H293"/>
    <x:mergeCell ref="A294:H295"/>
    <x:mergeCell ref="B297:H297"/>
    <x:mergeCell ref="B298:H298"/>
    <x:mergeCell ref="B299:H299"/>
    <x:mergeCell ref="A301:B301"/>
    <x:mergeCell ref="C301:H301"/>
    <x:mergeCell ref="A303:B304"/>
    <x:mergeCell ref="C303:H304"/>
    <x:mergeCell ref="A306:H306"/>
    <x:mergeCell ref="A307:H308"/>
    <x:mergeCell ref="B310:H310"/>
    <x:mergeCell ref="B311:H311"/>
    <x:mergeCell ref="B312:H312"/>
    <x:mergeCell ref="A314:B314"/>
    <x:mergeCell ref="C314:H314"/>
    <x:mergeCell ref="A316:B317"/>
    <x:mergeCell ref="C316:H317"/>
    <x:mergeCell ref="A319:H319"/>
    <x:mergeCell ref="A320:H321"/>
    <x:mergeCell ref="B323:H323"/>
    <x:mergeCell ref="B324:H324"/>
    <x:mergeCell ref="B325:H325"/>
    <x:mergeCell ref="A327:B327"/>
    <x:mergeCell ref="C327:H327"/>
    <x:mergeCell ref="A329:B330"/>
    <x:mergeCell ref="C329:H330"/>
    <x:mergeCell ref="A332:H332"/>
    <x:mergeCell ref="A333:H334"/>
    <x:mergeCell ref="B336:H336"/>
    <x:mergeCell ref="B337:H337"/>
    <x:mergeCell ref="B338:H338"/>
    <x:mergeCell ref="A340:B340"/>
    <x:mergeCell ref="C340:H340"/>
    <x:mergeCell ref="A342:B343"/>
    <x:mergeCell ref="C342:H343"/>
  </x:mergeCells>
  <x:conditionalFormatting sqref="C14:H15">
    <x:cfRule type="expression" dxfId="100" priority="1">
      <x:formula>LEFT($C$14,6)="Верно."</x:formula>
    </x:cfRule>
    <x:cfRule type="expression" dxfId="101" priority="2">
      <x:formula>LEFT($C$14,7)="Неверно"</x:formula>
    </x:cfRule>
  </x:conditionalFormatting>
  <x:conditionalFormatting sqref="C27:H28">
    <x:cfRule type="expression" dxfId="102" priority="3">
      <x:formula>LEFT($C$27,6)="Верно."</x:formula>
    </x:cfRule>
    <x:cfRule type="expression" dxfId="103" priority="4">
      <x:formula>LEFT($C$27,7)="Неверно"</x:formula>
    </x:cfRule>
  </x:conditionalFormatting>
  <x:conditionalFormatting sqref="C40:H41">
    <x:cfRule type="expression" dxfId="104" priority="5">
      <x:formula>LEFT($C$40,6)="Верно."</x:formula>
    </x:cfRule>
    <x:cfRule type="expression" dxfId="105" priority="6">
      <x:formula>LEFT($C$40,7)="Неверно"</x:formula>
    </x:cfRule>
  </x:conditionalFormatting>
  <x:conditionalFormatting sqref="C53:H54">
    <x:cfRule type="expression" dxfId="106" priority="7">
      <x:formula>LEFT($C$53,6)="Верно."</x:formula>
    </x:cfRule>
    <x:cfRule type="expression" dxfId="107" priority="8">
      <x:formula>LEFT($C$53,7)="Неверно"</x:formula>
    </x:cfRule>
  </x:conditionalFormatting>
  <x:conditionalFormatting sqref="C66:H67">
    <x:cfRule type="expression" dxfId="108" priority="9">
      <x:formula>LEFT($C$66,6)="Верно."</x:formula>
    </x:cfRule>
    <x:cfRule type="expression" dxfId="109" priority="10">
      <x:formula>LEFT($C$66,7)="Неверно"</x:formula>
    </x:cfRule>
  </x:conditionalFormatting>
  <x:conditionalFormatting sqref="C82:H83">
    <x:cfRule type="expression" dxfId="110" priority="11">
      <x:formula>LEFT($C$82,6)="Верно."</x:formula>
    </x:cfRule>
    <x:cfRule type="expression" dxfId="111" priority="12">
      <x:formula>LEFT($C$82,7)="Неверно"</x:formula>
    </x:cfRule>
  </x:conditionalFormatting>
  <x:conditionalFormatting sqref="C98:H99">
    <x:cfRule type="expression" dxfId="112" priority="13">
      <x:formula>LEFT($C$98,6)="Верно."</x:formula>
    </x:cfRule>
    <x:cfRule type="expression" dxfId="113" priority="14">
      <x:formula>LEFT($C$98,7)="Неверно"</x:formula>
    </x:cfRule>
  </x:conditionalFormatting>
  <x:conditionalFormatting sqref="C113:H114">
    <x:cfRule type="expression" dxfId="114" priority="15">
      <x:formula>LEFT($C$113,6)="Верно."</x:formula>
    </x:cfRule>
    <x:cfRule type="expression" dxfId="115" priority="16">
      <x:formula>LEFT($C$113,7)="Неверно"</x:formula>
    </x:cfRule>
  </x:conditionalFormatting>
  <x:conditionalFormatting sqref="C126:H127">
    <x:cfRule type="expression" dxfId="116" priority="17">
      <x:formula>LEFT($C$126,6)="Верно."</x:formula>
    </x:cfRule>
    <x:cfRule type="expression" dxfId="117" priority="18">
      <x:formula>LEFT($C$126,7)="Неверно"</x:formula>
    </x:cfRule>
  </x:conditionalFormatting>
  <x:conditionalFormatting sqref="C140:H141">
    <x:cfRule type="expression" dxfId="118" priority="19">
      <x:formula>LEFT($C$140,6)="Верно."</x:formula>
    </x:cfRule>
    <x:cfRule type="expression" dxfId="119" priority="20">
      <x:formula>LEFT($C$140,7)="Неверно"</x:formula>
    </x:cfRule>
  </x:conditionalFormatting>
  <x:conditionalFormatting sqref="C156:H157">
    <x:cfRule type="expression" dxfId="120" priority="21">
      <x:formula>LEFT($C$156,6)="Верно."</x:formula>
    </x:cfRule>
    <x:cfRule type="expression" dxfId="121" priority="22">
      <x:formula>LEFT($C$156,7)="Неверно"</x:formula>
    </x:cfRule>
  </x:conditionalFormatting>
  <x:conditionalFormatting sqref="C169:H170">
    <x:cfRule type="expression" dxfId="122" priority="23">
      <x:formula>LEFT($C$169,6)="Верно."</x:formula>
    </x:cfRule>
    <x:cfRule type="expression" dxfId="123" priority="24">
      <x:formula>LEFT($C$169,7)="Неверно"</x:formula>
    </x:cfRule>
  </x:conditionalFormatting>
  <x:conditionalFormatting sqref="C183:H184">
    <x:cfRule type="expression" dxfId="124" priority="25">
      <x:formula>LEFT($C$183,6)="Верно."</x:formula>
    </x:cfRule>
    <x:cfRule type="expression" dxfId="125" priority="26">
      <x:formula>LEFT($C$183,7)="Неверно"</x:formula>
    </x:cfRule>
  </x:conditionalFormatting>
  <x:conditionalFormatting sqref="C197:H198">
    <x:cfRule type="expression" dxfId="126" priority="27">
      <x:formula>LEFT($C$197,6)="Верно."</x:formula>
    </x:cfRule>
    <x:cfRule type="expression" dxfId="127" priority="28">
      <x:formula>LEFT($C$197,7)="Неверно"</x:formula>
    </x:cfRule>
  </x:conditionalFormatting>
  <x:conditionalFormatting sqref="C211:H212">
    <x:cfRule type="expression" dxfId="128" priority="29">
      <x:formula>LEFT($C$211,6)="Верно."</x:formula>
    </x:cfRule>
    <x:cfRule type="expression" dxfId="129" priority="30">
      <x:formula>LEFT($C$211,7)="Неверно"</x:formula>
    </x:cfRule>
  </x:conditionalFormatting>
  <x:conditionalFormatting sqref="C225:H226">
    <x:cfRule type="expression" dxfId="130" priority="31">
      <x:formula>LEFT($C$225,6)="Верно."</x:formula>
    </x:cfRule>
    <x:cfRule type="expression" dxfId="131" priority="32">
      <x:formula>LEFT($C$225,7)="Неверно"</x:formula>
    </x:cfRule>
  </x:conditionalFormatting>
  <x:conditionalFormatting sqref="C238:H239">
    <x:cfRule type="expression" dxfId="132" priority="33">
      <x:formula>LEFT($C$238,6)="Верно."</x:formula>
    </x:cfRule>
    <x:cfRule type="expression" dxfId="133" priority="34">
      <x:formula>LEFT($C$238,7)="Неверно"</x:formula>
    </x:cfRule>
  </x:conditionalFormatting>
  <x:conditionalFormatting sqref="C250:H251">
    <x:cfRule type="expression" dxfId="134" priority="35">
      <x:formula>LEFT($C$250,6)="Верно."</x:formula>
    </x:cfRule>
    <x:cfRule type="expression" dxfId="135" priority="36">
      <x:formula>LEFT($C$250,7)="Неверно"</x:formula>
    </x:cfRule>
  </x:conditionalFormatting>
  <x:conditionalFormatting sqref="C263:H264">
    <x:cfRule type="expression" dxfId="136" priority="37">
      <x:formula>LEFT($C$263,6)="Верно."</x:formula>
    </x:cfRule>
    <x:cfRule type="expression" dxfId="137" priority="38">
      <x:formula>LEFT($C$263,7)="Неверно"</x:formula>
    </x:cfRule>
  </x:conditionalFormatting>
  <x:conditionalFormatting sqref="C277:H278">
    <x:cfRule type="expression" dxfId="138" priority="39">
      <x:formula>LEFT($C$277,6)="Верно."</x:formula>
    </x:cfRule>
    <x:cfRule type="expression" dxfId="139" priority="40">
      <x:formula>LEFT($C$277,7)="Неверно"</x:formula>
    </x:cfRule>
  </x:conditionalFormatting>
  <x:conditionalFormatting sqref="C290:H291">
    <x:cfRule type="expression" dxfId="140" priority="41">
      <x:formula>LEFT($C$290,6)="Верно."</x:formula>
    </x:cfRule>
    <x:cfRule type="expression" dxfId="141" priority="42">
      <x:formula>LEFT($C$290,7)="Неверно"</x:formula>
    </x:cfRule>
  </x:conditionalFormatting>
  <x:conditionalFormatting sqref="C303:H304">
    <x:cfRule type="expression" dxfId="142" priority="43">
      <x:formula>LEFT($C$303,6)="Верно."</x:formula>
    </x:cfRule>
    <x:cfRule type="expression" dxfId="143" priority="44">
      <x:formula>LEFT($C$303,7)="Неверно"</x:formula>
    </x:cfRule>
  </x:conditionalFormatting>
  <x:conditionalFormatting sqref="C316:H317">
    <x:cfRule type="expression" dxfId="144" priority="45">
      <x:formula>LEFT($C$316,6)="Верно."</x:formula>
    </x:cfRule>
    <x:cfRule type="expression" dxfId="145" priority="46">
      <x:formula>LEFT($C$316,7)="Неверно"</x:formula>
    </x:cfRule>
  </x:conditionalFormatting>
  <x:conditionalFormatting sqref="C329:H330">
    <x:cfRule type="expression" dxfId="146" priority="47">
      <x:formula>LEFT($C$329,6)="Верно."</x:formula>
    </x:cfRule>
    <x:cfRule type="expression" dxfId="147" priority="48">
      <x:formula>LEFT($C$329,7)="Неверно"</x:formula>
    </x:cfRule>
  </x:conditionalFormatting>
  <x:conditionalFormatting sqref="C342:H343">
    <x:cfRule type="expression" dxfId="148" priority="49">
      <x:formula>LEFT($C$342,6)="Верно."</x:formula>
    </x:cfRule>
    <x:cfRule type="expression" dxfId="149" priority="50">
      <x:formula>LEFT($C$342,7)="Неверно"</x:formula>
    </x:cfRule>
  </x:conditionalFormatting>
  <x:dataValidations count="25">
    <x:dataValidation type="list" sqref="C12:H12">
      <x:formula1>"A,B"</x:formula1>
    </x:dataValidation>
    <x:dataValidation type="list" sqref="C25:H25">
      <x:formula1>"A,B,C"</x:formula1>
    </x:dataValidation>
    <x:dataValidation type="list" sqref="C38:H38">
      <x:formula1>"A,B,C"</x:formula1>
    </x:dataValidation>
    <x:dataValidation type="list" sqref="C51:H51">
      <x:formula1>"A,B,C"</x:formula1>
    </x:dataValidation>
    <x:dataValidation type="list" sqref="C64:H64">
      <x:formula1>"A,B,C"</x:formula1>
    </x:dataValidation>
    <x:dataValidation type="list" sqref="C80:H80">
      <x:formula1>"A,B,C,D,E,F"</x:formula1>
    </x:dataValidation>
    <x:dataValidation type="list" sqref="C96:H96">
      <x:formula1>"A,B,C,D,E,F"</x:formula1>
    </x:dataValidation>
    <x:dataValidation type="list" sqref="C111:H111">
      <x:formula1>"A,B,C,D,E"</x:formula1>
    </x:dataValidation>
    <x:dataValidation type="list" sqref="C124:H124">
      <x:formula1>"A,B,C"</x:formula1>
    </x:dataValidation>
    <x:dataValidation type="list" sqref="C138:H138">
      <x:formula1>"A,B,C,D"</x:formula1>
    </x:dataValidation>
    <x:dataValidation type="list" sqref="C154:H154">
      <x:formula1>"A,B,C,D,E,F"</x:formula1>
    </x:dataValidation>
    <x:dataValidation type="list" sqref="C167:H167">
      <x:formula1>"A,B,C"</x:formula1>
    </x:dataValidation>
    <x:dataValidation type="list" sqref="C181:H181">
      <x:formula1>"A,B,C,D"</x:formula1>
    </x:dataValidation>
    <x:dataValidation type="list" sqref="C195:H195">
      <x:formula1>"A,B,C,D"</x:formula1>
    </x:dataValidation>
    <x:dataValidation type="list" sqref="C209:H209">
      <x:formula1>"A,B,C,D"</x:formula1>
    </x:dataValidation>
    <x:dataValidation type="list" sqref="C223:H223">
      <x:formula1>"A,B,C,D"</x:formula1>
    </x:dataValidation>
    <x:dataValidation type="list" sqref="C236:H236">
      <x:formula1>"A,B,C"</x:formula1>
    </x:dataValidation>
    <x:dataValidation type="list" sqref="C248:H248">
      <x:formula1>"A,B"</x:formula1>
    </x:dataValidation>
    <x:dataValidation type="list" sqref="C261:H261">
      <x:formula1>"A,B,C"</x:formula1>
    </x:dataValidation>
    <x:dataValidation type="list" sqref="C275:H275">
      <x:formula1>"A,B,C,D"</x:formula1>
    </x:dataValidation>
    <x:dataValidation type="list" sqref="C288:H288">
      <x:formula1>"A,B,C"</x:formula1>
    </x:dataValidation>
    <x:dataValidation type="list" sqref="C301:H301">
      <x:formula1>"A,B,C"</x:formula1>
    </x:dataValidation>
    <x:dataValidation type="list" sqref="C314:H314">
      <x:formula1>"A,B,C"</x:formula1>
    </x:dataValidation>
    <x:dataValidation type="list" sqref="C327:H327">
      <x:formula1>"A,B,C"</x:formula1>
    </x:dataValidation>
    <x:dataValidation type="list" sqref="C340:H340">
      <x:formula1>"A,B,C"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26" max="26" width="2" hidden="0" customWidth="1"/>
    <x:col min="27" max="27" width="2" hidden="0" customWidth="1"/>
  </x:cols>
  <x:sheetData>
    <x:row r="1" ht="28" customHeight="1">
      <x:c r="A1" s="214" t="str">
        <x:v>Тест ГНВП — вопросы 26–50</x:v>
      </x:c>
      <x:c r="B1" s="214"/>
      <x:c r="C1" s="214"/>
      <x:c r="D1" s="214"/>
      <x:c r="E1" s="214"/>
      <x:c r="F1" s="214"/>
      <x:c r="G1" s="214"/>
      <x:c r="H1" s="214"/>
    </x:row>
    <x:row r="2" ht="28" customHeight="1">
      <x:c r="A2" s="219" t="str">
        <x:v>Выбирайте букву ответа. После выбора сразу появится комментарий.</x:v>
      </x:c>
      <x:c r="B2" s="219"/>
      <x:c r="C2" s="219"/>
      <x:c r="D2" s="219"/>
      <x:c r="E2" s="219"/>
      <x:c r="F2" s="219"/>
      <x:c r="G2" s="219"/>
      <x:c r="H2" s="219"/>
    </x:row>
    <x:row r="3">
      <x:c r="A3" s="223" t="str">
        <x:v>Отвечено</x:v>
      </x:c>
      <x:c r="B3" s="223"/>
      <x:c r="C3" s="224" t="n">
        <x:f>SUM(AA5:AA600)</x:f>
        <x:v>0</x:v>
      </x:c>
      <x:c r="D3" s="223" t="str">
        <x:v>Правильно</x:v>
      </x:c>
      <x:c r="E3" s="223"/>
      <x:c r="F3" s="224" t="n">
        <x:f>SUM(Z5:Z600)</x:f>
        <x:v>0</x:v>
      </x:c>
      <x:c r="G3" s="223" t="str">
        <x:v>Результат</x:v>
      </x:c>
      <x:c r="H3" s="225" t="n">
        <x:f>IF(F3=0,0,F3/25)</x:f>
        <x:v>0</x:v>
      </x:c>
    </x:row>
    <x:row r="4" ht="10" customHeight="1"/>
    <x:row r="5" ht="24" customHeight="1">
      <x:c r="A5" s="228" t="str">
        <x:v>Вопрос 1 из 25</x:v>
      </x:c>
      <x:c r="B5" s="228"/>
      <x:c r="C5" s="228"/>
      <x:c r="D5" s="228"/>
      <x:c r="E5" s="228"/>
      <x:c r="F5" s="228"/>
      <x:c r="G5" s="228"/>
      <x:c r="H5" s="228"/>
    </x:row>
    <x:row r="6" ht="34" customHeight="1">
      <x:c r="A6" s="243" t="str">
        <x:v>Укажите концентрационные пределы распространения пламени сероводорода в объемных долях:</x:v>
      </x:c>
      <x:c r="B6" s="244"/>
      <x:c r="C6" s="244"/>
      <x:c r="D6" s="244"/>
      <x:c r="E6" s="244"/>
      <x:c r="F6" s="244"/>
      <x:c r="G6" s="244"/>
      <x:c r="H6" s="245"/>
    </x:row>
    <x:row r="7" ht="34" customHeight="1">
      <x:c r="A7" s="246"/>
      <x:c r="B7" s="247"/>
      <x:c r="C7" s="247"/>
      <x:c r="D7" s="247"/>
      <x:c r="E7" s="247"/>
      <x:c r="F7" s="247"/>
      <x:c r="G7" s="247"/>
      <x:c r="H7" s="248"/>
    </x:row>
    <x:row r="8" ht="8" customHeight="1"/>
    <x:row r="9" ht="24" customHeight="1">
      <x:c r="A9" s="253" t="str">
        <x:v>A</x:v>
      </x:c>
      <x:c r="B9" s="99" t="str">
        <x:v>4,0–45,5 %</x:v>
      </x:c>
      <x:c r="C9" s="100"/>
      <x:c r="D9" s="100"/>
      <x:c r="E9" s="100"/>
      <x:c r="F9" s="100"/>
      <x:c r="G9" s="100"/>
      <x:c r="H9" s="101"/>
    </x:row>
    <x:row r="10" ht="24" customHeight="1">
      <x:c r="A10" s="253" t="str">
        <x:v>B</x:v>
      </x:c>
      <x:c r="B10" s="99" t="str">
        <x:v>5,5–32,4 %</x:v>
      </x:c>
      <x:c r="C10" s="100"/>
      <x:c r="D10" s="100"/>
      <x:c r="E10" s="100"/>
      <x:c r="F10" s="100"/>
      <x:c r="G10" s="100"/>
      <x:c r="H10" s="101"/>
    </x:row>
    <x:row r="11" ht="24" customHeight="1">
      <x:c r="A11" s="253" t="str">
        <x:v>C</x:v>
      </x:c>
      <x:c r="B11" s="99" t="str">
        <x:v>6,9–28,9 %</x:v>
      </x:c>
      <x:c r="C11" s="100"/>
      <x:c r="D11" s="100"/>
      <x:c r="E11" s="100"/>
      <x:c r="F11" s="100"/>
      <x:c r="G11" s="100"/>
      <x:c r="H11" s="101"/>
    </x:row>
    <x:row r="12" ht="8" customHeight="1"/>
    <x:row r="13" ht="28" customHeight="1">
      <x:c r="A13" s="258" t="str">
        <x:v>Ваш ответ:</x:v>
      </x:c>
      <x:c r="B13" s="259"/>
      <x:c r="C13" s="268"/>
      <x:c r="D13" s="269"/>
      <x:c r="E13" s="269"/>
      <x:c r="F13" s="269"/>
      <x:c r="G13" s="269"/>
      <x:c r="H13" s="270"/>
      <x:c r="Z13" t="n">
        <x:f>IF(C13="",0,IF(C13="A",1,0))</x:f>
        <x:v>0</x:v>
      </x:c>
      <x:c r="AA13" t="n">
        <x:f>IF(C13="",0,1)</x:f>
        <x:v>0</x:v>
      </x:c>
    </x:row>
    <x:row r="14" ht="8" customHeight="1"/>
    <x:row r="15" ht="30" customHeight="1">
      <x:c r="A15" s="343" t="str">
        <x:v>Комментарий:</x:v>
      </x:c>
      <x:c r="B15" s="344"/>
      <x:c r="C15" s="176" t="str">
        <x:f>IF(C13="","Выберите ответ.",IF(C13="A","Верно. Указано нормативное значение или предел, приведённый в исходном тесте.",IF(C13="B","Неверно. Указано другое нормативное значение или предел. Правильный вариант: A.",IF(C13="C","Неверно. Указано другое нормативное значение или предел. Правильный вариант: A.","Неверно. Ответ не распознан. Правильный вариант: A."))))</x:f>
        <x:v>Выберите ответ.</x:v>
      </x:c>
      <x:c r="D15" s="177"/>
      <x:c r="E15" s="177"/>
      <x:c r="F15" s="177"/>
      <x:c r="G15" s="177"/>
      <x:c r="H15" s="178"/>
    </x:row>
    <x:row r="16" ht="30" customHeight="1">
      <x:c r="A16" s="345"/>
      <x:c r="B16" s="346"/>
      <x:c r="C16" s="179"/>
      <x:c r="D16" s="180"/>
      <x:c r="E16" s="180"/>
      <x:c r="F16" s="180"/>
      <x:c r="G16" s="180"/>
      <x:c r="H16" s="181"/>
    </x:row>
    <x:row r="18" ht="24" customHeight="1">
      <x:c r="A18" s="228" t="str">
        <x:v>Вопрос 2 из 25</x:v>
      </x:c>
      <x:c r="B18" s="228"/>
      <x:c r="C18" s="228"/>
      <x:c r="D18" s="228"/>
      <x:c r="E18" s="228"/>
      <x:c r="F18" s="228"/>
      <x:c r="G18" s="228"/>
      <x:c r="H18" s="228"/>
    </x:row>
    <x:row r="19" ht="34" customHeight="1">
      <x:c r="A19" s="243" t="str">
        <x:v>Укажите концентрационные пределы распространения пламени паров метанола в объемных долях:</x:v>
      </x:c>
      <x:c r="B19" s="244"/>
      <x:c r="C19" s="244"/>
      <x:c r="D19" s="244"/>
      <x:c r="E19" s="244"/>
      <x:c r="F19" s="244"/>
      <x:c r="G19" s="244"/>
      <x:c r="H19" s="245"/>
    </x:row>
    <x:row r="20" ht="34" customHeight="1">
      <x:c r="A20" s="246"/>
      <x:c r="B20" s="247"/>
      <x:c r="C20" s="247"/>
      <x:c r="D20" s="247"/>
      <x:c r="E20" s="247"/>
      <x:c r="F20" s="247"/>
      <x:c r="G20" s="247"/>
      <x:c r="H20" s="248"/>
    </x:row>
    <x:row r="21" ht="8" customHeight="1"/>
    <x:row r="22" ht="24" customHeight="1">
      <x:c r="A22" s="253" t="str">
        <x:v>A</x:v>
      </x:c>
      <x:c r="B22" s="99" t="str">
        <x:v>5–15 %</x:v>
      </x:c>
      <x:c r="C22" s="100"/>
      <x:c r="D22" s="100"/>
      <x:c r="E22" s="100"/>
      <x:c r="F22" s="100"/>
      <x:c r="G22" s="100"/>
      <x:c r="H22" s="101"/>
    </x:row>
    <x:row r="23" ht="24" customHeight="1">
      <x:c r="A23" s="253" t="str">
        <x:v>B</x:v>
      </x:c>
      <x:c r="B23" s="99" t="str">
        <x:v>6–24 %</x:v>
      </x:c>
      <x:c r="C23" s="100"/>
      <x:c r="D23" s="100"/>
      <x:c r="E23" s="100"/>
      <x:c r="F23" s="100"/>
      <x:c r="G23" s="100"/>
      <x:c r="H23" s="101"/>
    </x:row>
    <x:row r="24" ht="24" customHeight="1">
      <x:c r="A24" s="253" t="str">
        <x:v>C</x:v>
      </x:c>
      <x:c r="B24" s="99" t="str">
        <x:v>5,5–36 %</x:v>
      </x:c>
      <x:c r="C24" s="100"/>
      <x:c r="D24" s="100"/>
      <x:c r="E24" s="100"/>
      <x:c r="F24" s="100"/>
      <x:c r="G24" s="100"/>
      <x:c r="H24" s="101"/>
    </x:row>
    <x:row r="25" ht="8" customHeight="1"/>
    <x:row r="26" ht="28" customHeight="1">
      <x:c r="A26" s="258" t="str">
        <x:v>Ваш ответ:</x:v>
      </x:c>
      <x:c r="B26" s="259"/>
      <x:c r="C26" s="268"/>
      <x:c r="D26" s="269"/>
      <x:c r="E26" s="269"/>
      <x:c r="F26" s="269"/>
      <x:c r="G26" s="269"/>
      <x:c r="H26" s="270"/>
      <x:c r="Z26" t="n">
        <x:f>IF(C26="",0,IF(C26="C",1,0))</x:f>
        <x:v>0</x:v>
      </x:c>
      <x:c r="AA26" t="n">
        <x:f>IF(C26="",0,1)</x:f>
        <x:v>0</x:v>
      </x:c>
    </x:row>
    <x:row r="27" ht="8" customHeight="1"/>
    <x:row r="28" ht="30" customHeight="1">
      <x:c r="A28" s="343" t="str">
        <x:v>Комментарий:</x:v>
      </x:c>
      <x:c r="B28" s="344"/>
      <x:c r="C28" s="176" t="str">
        <x:f>IF(C26="","Выберите ответ.",IF(C26="A","Неверно. Указано другое нормативное значение или предел. Правильный вариант: C.",IF(C26="B","Неверно. Указано другое нормативное значение или предел. Правильный вариант: C.",IF(C26="C","Верно. Указано нормативное значение или предел, приведённый в исходном тесте.","Неверно. Ответ не распознан. Правильный вариант: C."))))</x:f>
        <x:v>Выберите ответ.</x:v>
      </x:c>
      <x:c r="D28" s="177"/>
      <x:c r="E28" s="177"/>
      <x:c r="F28" s="177"/>
      <x:c r="G28" s="177"/>
      <x:c r="H28" s="178"/>
    </x:row>
    <x:row r="29" ht="30" customHeight="1">
      <x:c r="A29" s="345"/>
      <x:c r="B29" s="346"/>
      <x:c r="C29" s="179"/>
      <x:c r="D29" s="180"/>
      <x:c r="E29" s="180"/>
      <x:c r="F29" s="180"/>
      <x:c r="G29" s="180"/>
      <x:c r="H29" s="181"/>
    </x:row>
    <x:row r="31" ht="24" customHeight="1">
      <x:c r="A31" s="228" t="str">
        <x:v>Вопрос 3 из 25</x:v>
      </x:c>
      <x:c r="B31" s="228"/>
      <x:c r="C31" s="228"/>
      <x:c r="D31" s="228"/>
      <x:c r="E31" s="228"/>
      <x:c r="F31" s="228"/>
      <x:c r="G31" s="228"/>
      <x:c r="H31" s="228"/>
    </x:row>
    <x:row r="32" ht="48" customHeight="1">
      <x:c r="A32" s="243" t="str">
        <x:v>Укажите тип скважин, предназначенных для изучения геологического строения и гидрогеологических условий залегания пород и выявления закономерностей распространения комплексов отложений, благоприятных для нефтегазонакопления:</x:v>
      </x:c>
      <x:c r="B32" s="244"/>
      <x:c r="C32" s="244"/>
      <x:c r="D32" s="244"/>
      <x:c r="E32" s="244"/>
      <x:c r="F32" s="244"/>
      <x:c r="G32" s="244"/>
      <x:c r="H32" s="245"/>
    </x:row>
    <x:row r="33" ht="48" customHeight="1">
      <x:c r="A33" s="246"/>
      <x:c r="B33" s="247"/>
      <x:c r="C33" s="247"/>
      <x:c r="D33" s="247"/>
      <x:c r="E33" s="247"/>
      <x:c r="F33" s="247"/>
      <x:c r="G33" s="247"/>
      <x:c r="H33" s="248"/>
    </x:row>
    <x:row r="34" ht="8" customHeight="1"/>
    <x:row r="35" ht="24" customHeight="1">
      <x:c r="A35" s="253" t="str">
        <x:v>A</x:v>
      </x:c>
      <x:c r="B35" s="99" t="str">
        <x:v>Опорные.</x:v>
      </x:c>
      <x:c r="C35" s="100"/>
      <x:c r="D35" s="100"/>
      <x:c r="E35" s="100"/>
      <x:c r="F35" s="100"/>
      <x:c r="G35" s="100"/>
      <x:c r="H35" s="101"/>
    </x:row>
    <x:row r="36" ht="24" customHeight="1">
      <x:c r="A36" s="253" t="str">
        <x:v>B</x:v>
      </x:c>
      <x:c r="B36" s="99" t="str">
        <x:v>Структурно-поисковые.</x:v>
      </x:c>
      <x:c r="C36" s="100"/>
      <x:c r="D36" s="100"/>
      <x:c r="E36" s="100"/>
      <x:c r="F36" s="100"/>
      <x:c r="G36" s="100"/>
      <x:c r="H36" s="101"/>
    </x:row>
    <x:row r="37" ht="24" customHeight="1">
      <x:c r="A37" s="253" t="str">
        <x:v>C</x:v>
      </x:c>
      <x:c r="B37" s="99" t="str">
        <x:v>Разведочные.</x:v>
      </x:c>
      <x:c r="C37" s="100"/>
      <x:c r="D37" s="100"/>
      <x:c r="E37" s="100"/>
      <x:c r="F37" s="100"/>
      <x:c r="G37" s="100"/>
      <x:c r="H37" s="101"/>
    </x:row>
    <x:row r="38" ht="24" customHeight="1">
      <x:c r="A38" s="253" t="str">
        <x:v>D</x:v>
      </x:c>
      <x:c r="B38" s="99" t="str">
        <x:v>Эксплуатационные.</x:v>
      </x:c>
      <x:c r="C38" s="100"/>
      <x:c r="D38" s="100"/>
      <x:c r="E38" s="100"/>
      <x:c r="F38" s="100"/>
      <x:c r="G38" s="100"/>
      <x:c r="H38" s="101"/>
    </x:row>
    <x:row r="39" ht="24" customHeight="1">
      <x:c r="A39" s="253" t="str">
        <x:v>E</x:v>
      </x:c>
      <x:c r="B39" s="99" t="str">
        <x:v>Наблюдательные.</x:v>
      </x:c>
      <x:c r="C39" s="100"/>
      <x:c r="D39" s="100"/>
      <x:c r="E39" s="100"/>
      <x:c r="F39" s="100"/>
      <x:c r="G39" s="100"/>
      <x:c r="H39" s="101"/>
    </x:row>
    <x:row r="40" ht="8" customHeight="1"/>
    <x:row r="41" ht="28" customHeight="1">
      <x:c r="A41" s="258" t="str">
        <x:v>Ваш ответ:</x:v>
      </x:c>
      <x:c r="B41" s="259"/>
      <x:c r="C41" s="268"/>
      <x:c r="D41" s="269"/>
      <x:c r="E41" s="269"/>
      <x:c r="F41" s="269"/>
      <x:c r="G41" s="269"/>
      <x:c r="H41" s="270"/>
      <x:c r="Z41" t="n">
        <x:f>IF(C41="",0,IF(C41="A",1,0))</x:f>
        <x:v>0</x:v>
      </x:c>
      <x:c r="AA41" t="n">
        <x:f>IF(C41="",0,1)</x:f>
        <x:v>0</x:v>
      </x:c>
    </x:row>
    <x:row r="42" ht="8" customHeight="1"/>
    <x:row r="43" ht="30" customHeight="1">
      <x:c r="A43" s="343" t="str">
        <x:v>Комментарий:</x:v>
      </x:c>
      <x:c r="B43" s="344"/>
      <x:c r="C43" s="176" t="str">
        <x:f>IF(C41="","Выберите ответ.",IF(C41="A","Верно. Назначение скважины в условии соответствует выбранному типу.",IF(C41="B","Неверно. Этот тип скважины имеет другое назначение. Правильный вариант: A.",IF(C41="C","Неверно. Этот тип скважины имеет другое назначение. Правильный вариант: A.",IF(C41="D","Неверно. Этот тип скважины имеет другое назначение. Правильный вариант: A.",IF(C41="E","Неверно. Этот тип скважины имеет другое назначение. Правильный вариант: A.","Неверно. Ответ не распознан. Правильный вариант: A."))))))</x:f>
        <x:v>Выберите ответ.</x:v>
      </x:c>
      <x:c r="D43" s="177"/>
      <x:c r="E43" s="177"/>
      <x:c r="F43" s="177"/>
      <x:c r="G43" s="177"/>
      <x:c r="H43" s="178"/>
    </x:row>
    <x:row r="44" ht="30" customHeight="1">
      <x:c r="A44" s="345"/>
      <x:c r="B44" s="346"/>
      <x:c r="C44" s="179"/>
      <x:c r="D44" s="180"/>
      <x:c r="E44" s="180"/>
      <x:c r="F44" s="180"/>
      <x:c r="G44" s="180"/>
      <x:c r="H44" s="181"/>
    </x:row>
    <x:row r="46" ht="24" customHeight="1">
      <x:c r="A46" s="228" t="str">
        <x:v>Вопрос 4 из 25</x:v>
      </x:c>
      <x:c r="B46" s="228"/>
      <x:c r="C46" s="228"/>
      <x:c r="D46" s="228"/>
      <x:c r="E46" s="228"/>
      <x:c r="F46" s="228"/>
      <x:c r="G46" s="228"/>
      <x:c r="H46" s="228"/>
    </x:row>
    <x:row r="47" ht="48" customHeight="1">
      <x:c r="A47" s="243" t="str">
        <x:v>Определите тип скважин, предназначенных для изучения сведений о геологическом строении, испытания скважин и оценки продуктивности пластов:</x:v>
      </x:c>
      <x:c r="B47" s="244"/>
      <x:c r="C47" s="244"/>
      <x:c r="D47" s="244"/>
      <x:c r="E47" s="244"/>
      <x:c r="F47" s="244"/>
      <x:c r="G47" s="244"/>
      <x:c r="H47" s="245"/>
    </x:row>
    <x:row r="48" ht="48" customHeight="1">
      <x:c r="A48" s="246"/>
      <x:c r="B48" s="247"/>
      <x:c r="C48" s="247"/>
      <x:c r="D48" s="247"/>
      <x:c r="E48" s="247"/>
      <x:c r="F48" s="247"/>
      <x:c r="G48" s="247"/>
      <x:c r="H48" s="248"/>
    </x:row>
    <x:row r="49" ht="8" customHeight="1"/>
    <x:row r="50" ht="24" customHeight="1">
      <x:c r="A50" s="253" t="str">
        <x:v>A</x:v>
      </x:c>
      <x:c r="B50" s="99" t="str">
        <x:v>Опорные.</x:v>
      </x:c>
      <x:c r="C50" s="100"/>
      <x:c r="D50" s="100"/>
      <x:c r="E50" s="100"/>
      <x:c r="F50" s="100"/>
      <x:c r="G50" s="100"/>
      <x:c r="H50" s="101"/>
    </x:row>
    <x:row r="51" ht="24" customHeight="1">
      <x:c r="A51" s="253" t="str">
        <x:v>B</x:v>
      </x:c>
      <x:c r="B51" s="99" t="str">
        <x:v>Структурно-поисковые.</x:v>
      </x:c>
      <x:c r="C51" s="100"/>
      <x:c r="D51" s="100"/>
      <x:c r="E51" s="100"/>
      <x:c r="F51" s="100"/>
      <x:c r="G51" s="100"/>
      <x:c r="H51" s="101"/>
    </x:row>
    <x:row r="52" ht="24" customHeight="1">
      <x:c r="A52" s="253" t="str">
        <x:v>C</x:v>
      </x:c>
      <x:c r="B52" s="99" t="str">
        <x:v>Разведочные.</x:v>
      </x:c>
      <x:c r="C52" s="100"/>
      <x:c r="D52" s="100"/>
      <x:c r="E52" s="100"/>
      <x:c r="F52" s="100"/>
      <x:c r="G52" s="100"/>
      <x:c r="H52" s="101"/>
    </x:row>
    <x:row r="53" ht="24" customHeight="1">
      <x:c r="A53" s="253" t="str">
        <x:v>D</x:v>
      </x:c>
      <x:c r="B53" s="99" t="str">
        <x:v>Эксплуатационные.</x:v>
      </x:c>
      <x:c r="C53" s="100"/>
      <x:c r="D53" s="100"/>
      <x:c r="E53" s="100"/>
      <x:c r="F53" s="100"/>
      <x:c r="G53" s="100"/>
      <x:c r="H53" s="101"/>
    </x:row>
    <x:row r="54" ht="24" customHeight="1">
      <x:c r="A54" s="253" t="str">
        <x:v>E</x:v>
      </x:c>
      <x:c r="B54" s="99" t="str">
        <x:v>Наблюдательные.</x:v>
      </x:c>
      <x:c r="C54" s="100"/>
      <x:c r="D54" s="100"/>
      <x:c r="E54" s="100"/>
      <x:c r="F54" s="100"/>
      <x:c r="G54" s="100"/>
      <x:c r="H54" s="101"/>
    </x:row>
    <x:row r="55" ht="8" customHeight="1"/>
    <x:row r="56" ht="28" customHeight="1">
      <x:c r="A56" s="258" t="str">
        <x:v>Ваш ответ:</x:v>
      </x:c>
      <x:c r="B56" s="259"/>
      <x:c r="C56" s="268"/>
      <x:c r="D56" s="269"/>
      <x:c r="E56" s="269"/>
      <x:c r="F56" s="269"/>
      <x:c r="G56" s="269"/>
      <x:c r="H56" s="270"/>
      <x:c r="Z56" t="n">
        <x:f>IF(C56="",0,IF(C56="B",1,0))</x:f>
        <x:v>0</x:v>
      </x:c>
      <x:c r="AA56" t="n">
        <x:f>IF(C56="",0,1)</x:f>
        <x:v>0</x:v>
      </x:c>
    </x:row>
    <x:row r="57" ht="8" customHeight="1"/>
    <x:row r="58" ht="30" customHeight="1">
      <x:c r="A58" s="343" t="str">
        <x:v>Комментарий:</x:v>
      </x:c>
      <x:c r="B58" s="344"/>
      <x:c r="C58" s="176" t="str">
        <x:f>IF(C56="","Выберите ответ.",IF(C56="A","Неверно. Этот тип скважины имеет другое назначение. Правильный вариант: B.",IF(C56="B","Верно. Назначение скважины в условии соответствует выбранному типу.",IF(C56="C","Неверно. Этот тип скважины имеет другое назначение. Правильный вариант: B.",IF(C56="D","Неверно. Этот тип скважины имеет другое назначение. Правильный вариант: B.",IF(C56="E","Неверно. Этот тип скважины имеет другое назначение. Правильный вариант: B.","Неверно. Ответ не распознан. Правильный вариант: B."))))))</x:f>
        <x:v>Выберите ответ.</x:v>
      </x:c>
      <x:c r="D58" s="177"/>
      <x:c r="E58" s="177"/>
      <x:c r="F58" s="177"/>
      <x:c r="G58" s="177"/>
      <x:c r="H58" s="178"/>
    </x:row>
    <x:row r="59" ht="30" customHeight="1">
      <x:c r="A59" s="345"/>
      <x:c r="B59" s="346"/>
      <x:c r="C59" s="179"/>
      <x:c r="D59" s="180"/>
      <x:c r="E59" s="180"/>
      <x:c r="F59" s="180"/>
      <x:c r="G59" s="180"/>
      <x:c r="H59" s="181"/>
    </x:row>
    <x:row r="61" ht="24" customHeight="1">
      <x:c r="A61" s="228" t="str">
        <x:v>Вопрос 5 из 25</x:v>
      </x:c>
      <x:c r="B61" s="228"/>
      <x:c r="C61" s="228"/>
      <x:c r="D61" s="228"/>
      <x:c r="E61" s="228"/>
      <x:c r="F61" s="228"/>
      <x:c r="G61" s="228"/>
      <x:c r="H61" s="228"/>
    </x:row>
    <x:row r="62" ht="48" customHeight="1">
      <x:c r="A62" s="243" t="str">
        <x:v>Определите тип скважин, предназначенных для выявления продуктивных объектов, оконтуривания месторождений и оценки промышленных запасов:</x:v>
      </x:c>
      <x:c r="B62" s="244"/>
      <x:c r="C62" s="244"/>
      <x:c r="D62" s="244"/>
      <x:c r="E62" s="244"/>
      <x:c r="F62" s="244"/>
      <x:c r="G62" s="244"/>
      <x:c r="H62" s="245"/>
    </x:row>
    <x:row r="63" ht="48" customHeight="1">
      <x:c r="A63" s="246"/>
      <x:c r="B63" s="247"/>
      <x:c r="C63" s="247"/>
      <x:c r="D63" s="247"/>
      <x:c r="E63" s="247"/>
      <x:c r="F63" s="247"/>
      <x:c r="G63" s="247"/>
      <x:c r="H63" s="248"/>
    </x:row>
    <x:row r="64" ht="8" customHeight="1"/>
    <x:row r="65" ht="24" customHeight="1">
      <x:c r="A65" s="253" t="str">
        <x:v>A</x:v>
      </x:c>
      <x:c r="B65" s="99" t="str">
        <x:v>Наблюдательные.</x:v>
      </x:c>
      <x:c r="C65" s="100"/>
      <x:c r="D65" s="100"/>
      <x:c r="E65" s="100"/>
      <x:c r="F65" s="100"/>
      <x:c r="G65" s="100"/>
      <x:c r="H65" s="101"/>
    </x:row>
    <x:row r="66" ht="24" customHeight="1">
      <x:c r="A66" s="253" t="str">
        <x:v>B</x:v>
      </x:c>
      <x:c r="B66" s="99" t="str">
        <x:v>Структурно-поисковые.</x:v>
      </x:c>
      <x:c r="C66" s="100"/>
      <x:c r="D66" s="100"/>
      <x:c r="E66" s="100"/>
      <x:c r="F66" s="100"/>
      <x:c r="G66" s="100"/>
      <x:c r="H66" s="101"/>
    </x:row>
    <x:row r="67" ht="24" customHeight="1">
      <x:c r="A67" s="253" t="str">
        <x:v>C</x:v>
      </x:c>
      <x:c r="B67" s="99" t="str">
        <x:v>Разведочные.</x:v>
      </x:c>
      <x:c r="C67" s="100"/>
      <x:c r="D67" s="100"/>
      <x:c r="E67" s="100"/>
      <x:c r="F67" s="100"/>
      <x:c r="G67" s="100"/>
      <x:c r="H67" s="101"/>
    </x:row>
    <x:row r="68" ht="24" customHeight="1">
      <x:c r="A68" s="253" t="str">
        <x:v>D</x:v>
      </x:c>
      <x:c r="B68" s="99" t="str">
        <x:v>Опорные.</x:v>
      </x:c>
      <x:c r="C68" s="100"/>
      <x:c r="D68" s="100"/>
      <x:c r="E68" s="100"/>
      <x:c r="F68" s="100"/>
      <x:c r="G68" s="100"/>
      <x:c r="H68" s="101"/>
    </x:row>
    <x:row r="69" ht="24" customHeight="1">
      <x:c r="A69" s="253" t="str">
        <x:v>E</x:v>
      </x:c>
      <x:c r="B69" s="99" t="str">
        <x:v>Эксплуатационные.</x:v>
      </x:c>
      <x:c r="C69" s="100"/>
      <x:c r="D69" s="100"/>
      <x:c r="E69" s="100"/>
      <x:c r="F69" s="100"/>
      <x:c r="G69" s="100"/>
      <x:c r="H69" s="101"/>
    </x:row>
    <x:row r="70" ht="8" customHeight="1"/>
    <x:row r="71" ht="28" customHeight="1">
      <x:c r="A71" s="258" t="str">
        <x:v>Ваш ответ:</x:v>
      </x:c>
      <x:c r="B71" s="259"/>
      <x:c r="C71" s="268"/>
      <x:c r="D71" s="269"/>
      <x:c r="E71" s="269"/>
      <x:c r="F71" s="269"/>
      <x:c r="G71" s="269"/>
      <x:c r="H71" s="270"/>
      <x:c r="Z71" t="n">
        <x:f>IF(C71="",0,IF(C71="C",1,0))</x:f>
        <x:v>0</x:v>
      </x:c>
      <x:c r="AA71" t="n">
        <x:f>IF(C71="",0,1)</x:f>
        <x:v>0</x:v>
      </x:c>
    </x:row>
    <x:row r="72" ht="8" customHeight="1"/>
    <x:row r="73" ht="30" customHeight="1">
      <x:c r="A73" s="343" t="str">
        <x:v>Комментарий:</x:v>
      </x:c>
      <x:c r="B73" s="344"/>
      <x:c r="C73" s="176" t="str">
        <x:f>IF(C71="","Выберите ответ.",IF(C71="A","Неверно. Этот тип скважины имеет другое назначение. Правильный вариант: C.",IF(C71="B","Неверно. Этот тип скважины имеет другое назначение. Правильный вариант: C.",IF(C71="C","Верно. Назначение скважины в условии соответствует выбранному типу.",IF(C71="D","Неверно. Этот тип скважины имеет другое назначение. Правильный вариант: C.",IF(C71="E","Неверно. Этот тип скважины имеет другое назначение. Правильный вариант: C.","Неверно. Ответ не распознан. Правильный вариант: C."))))))</x:f>
        <x:v>Выберите ответ.</x:v>
      </x:c>
      <x:c r="D73" s="177"/>
      <x:c r="E73" s="177"/>
      <x:c r="F73" s="177"/>
      <x:c r="G73" s="177"/>
      <x:c r="H73" s="178"/>
    </x:row>
    <x:row r="74" ht="30" customHeight="1">
      <x:c r="A74" s="345"/>
      <x:c r="B74" s="346"/>
      <x:c r="C74" s="179"/>
      <x:c r="D74" s="180"/>
      <x:c r="E74" s="180"/>
      <x:c r="F74" s="180"/>
      <x:c r="G74" s="180"/>
      <x:c r="H74" s="181"/>
    </x:row>
    <x:row r="76" ht="24" customHeight="1">
      <x:c r="A76" s="228" t="str">
        <x:v>Вопрос 6 из 25</x:v>
      </x:c>
      <x:c r="B76" s="228"/>
      <x:c r="C76" s="228"/>
      <x:c r="D76" s="228"/>
      <x:c r="E76" s="228"/>
      <x:c r="F76" s="228"/>
      <x:c r="G76" s="228"/>
      <x:c r="H76" s="228"/>
    </x:row>
    <x:row r="77" ht="34" customHeight="1">
      <x:c r="A77" s="243" t="str">
        <x:v>Определите тип скважин, предназначенных для добычи пластового флюида, организации системы разработки месторождения:</x:v>
      </x:c>
      <x:c r="B77" s="244"/>
      <x:c r="C77" s="244"/>
      <x:c r="D77" s="244"/>
      <x:c r="E77" s="244"/>
      <x:c r="F77" s="244"/>
      <x:c r="G77" s="244"/>
      <x:c r="H77" s="245"/>
    </x:row>
    <x:row r="78" ht="34" customHeight="1">
      <x:c r="A78" s="246"/>
      <x:c r="B78" s="247"/>
      <x:c r="C78" s="247"/>
      <x:c r="D78" s="247"/>
      <x:c r="E78" s="247"/>
      <x:c r="F78" s="247"/>
      <x:c r="G78" s="247"/>
      <x:c r="H78" s="248"/>
    </x:row>
    <x:row r="79" ht="8" customHeight="1"/>
    <x:row r="80" ht="24" customHeight="1">
      <x:c r="A80" s="253" t="str">
        <x:v>A</x:v>
      </x:c>
      <x:c r="B80" s="99" t="str">
        <x:v>Опорные.</x:v>
      </x:c>
      <x:c r="C80" s="100"/>
      <x:c r="D80" s="100"/>
      <x:c r="E80" s="100"/>
      <x:c r="F80" s="100"/>
      <x:c r="G80" s="100"/>
      <x:c r="H80" s="101"/>
    </x:row>
    <x:row r="81" ht="24" customHeight="1">
      <x:c r="A81" s="253" t="str">
        <x:v>B</x:v>
      </x:c>
      <x:c r="B81" s="99" t="str">
        <x:v>Структурно-поисковые.</x:v>
      </x:c>
      <x:c r="C81" s="100"/>
      <x:c r="D81" s="100"/>
      <x:c r="E81" s="100"/>
      <x:c r="F81" s="100"/>
      <x:c r="G81" s="100"/>
      <x:c r="H81" s="101"/>
    </x:row>
    <x:row r="82" ht="24" customHeight="1">
      <x:c r="A82" s="253" t="str">
        <x:v>C</x:v>
      </x:c>
      <x:c r="B82" s="99" t="str">
        <x:v>Эксплуатационные.</x:v>
      </x:c>
      <x:c r="C82" s="100"/>
      <x:c r="D82" s="100"/>
      <x:c r="E82" s="100"/>
      <x:c r="F82" s="100"/>
      <x:c r="G82" s="100"/>
      <x:c r="H82" s="101"/>
    </x:row>
    <x:row r="83" ht="24" customHeight="1">
      <x:c r="A83" s="253" t="str">
        <x:v>D</x:v>
      </x:c>
      <x:c r="B83" s="99" t="str">
        <x:v>Разведочные.</x:v>
      </x:c>
      <x:c r="C83" s="100"/>
      <x:c r="D83" s="100"/>
      <x:c r="E83" s="100"/>
      <x:c r="F83" s="100"/>
      <x:c r="G83" s="100"/>
      <x:c r="H83" s="101"/>
    </x:row>
    <x:row r="84" ht="24" customHeight="1">
      <x:c r="A84" s="253" t="str">
        <x:v>E</x:v>
      </x:c>
      <x:c r="B84" s="99" t="str">
        <x:v>Наблюдательные.</x:v>
      </x:c>
      <x:c r="C84" s="100"/>
      <x:c r="D84" s="100"/>
      <x:c r="E84" s="100"/>
      <x:c r="F84" s="100"/>
      <x:c r="G84" s="100"/>
      <x:c r="H84" s="101"/>
    </x:row>
    <x:row r="85" ht="8" customHeight="1"/>
    <x:row r="86" ht="28" customHeight="1">
      <x:c r="A86" s="258" t="str">
        <x:v>Ваш ответ:</x:v>
      </x:c>
      <x:c r="B86" s="259"/>
      <x:c r="C86" s="268"/>
      <x:c r="D86" s="269"/>
      <x:c r="E86" s="269"/>
      <x:c r="F86" s="269"/>
      <x:c r="G86" s="269"/>
      <x:c r="H86" s="270"/>
      <x:c r="Z86" t="n">
        <x:f>IF(C86="",0,IF(C86="C",1,0))</x:f>
        <x:v>0</x:v>
      </x:c>
      <x:c r="AA86" t="n">
        <x:f>IF(C86="",0,1)</x:f>
        <x:v>0</x:v>
      </x:c>
    </x:row>
    <x:row r="87" ht="8" customHeight="1"/>
    <x:row r="88" ht="30" customHeight="1">
      <x:c r="A88" s="343" t="str">
        <x:v>Комментарий:</x:v>
      </x:c>
      <x:c r="B88" s="344"/>
      <x:c r="C88" s="176" t="str">
        <x:f>IF(C86="","Выберите ответ.",IF(C86="A","Неверно. Этот тип скважины имеет другое назначение. Правильный вариант: C.",IF(C86="B","Неверно. Этот тип скважины имеет другое назначение. Правильный вариант: C.",IF(C86="C","Верно. Назначение скважины в условии соответствует выбранному типу.",IF(C86="D","Неверно. Этот тип скважины имеет другое назначение. Правильный вариант: C.",IF(C86="E","Неверно. Этот тип скважины имеет другое назначение. Правильный вариант: C.","Неверно. Ответ не распознан. Правильный вариант: C."))))))</x:f>
        <x:v>Выберите ответ.</x:v>
      </x:c>
      <x:c r="D88" s="177"/>
      <x:c r="E88" s="177"/>
      <x:c r="F88" s="177"/>
      <x:c r="G88" s="177"/>
      <x:c r="H88" s="178"/>
    </x:row>
    <x:row r="89" ht="30" customHeight="1">
      <x:c r="A89" s="345"/>
      <x:c r="B89" s="346"/>
      <x:c r="C89" s="179"/>
      <x:c r="D89" s="180"/>
      <x:c r="E89" s="180"/>
      <x:c r="F89" s="180"/>
      <x:c r="G89" s="180"/>
      <x:c r="H89" s="181"/>
    </x:row>
    <x:row r="91" ht="24" customHeight="1">
      <x:c r="A91" s="228" t="str">
        <x:v>Вопрос 7 из 25</x:v>
      </x:c>
      <x:c r="B91" s="228"/>
      <x:c r="C91" s="228"/>
      <x:c r="D91" s="228"/>
      <x:c r="E91" s="228"/>
      <x:c r="F91" s="228"/>
      <x:c r="G91" s="228"/>
      <x:c r="H91" s="228"/>
    </x:row>
    <x:row r="92" ht="34" customHeight="1">
      <x:c r="A92" s="243" t="str">
        <x:v>Определите тип скважин, предназначенных для контроля над режимом разработки месторождения:</x:v>
      </x:c>
      <x:c r="B92" s="244"/>
      <x:c r="C92" s="244"/>
      <x:c r="D92" s="244"/>
      <x:c r="E92" s="244"/>
      <x:c r="F92" s="244"/>
      <x:c r="G92" s="244"/>
      <x:c r="H92" s="245"/>
    </x:row>
    <x:row r="93" ht="34" customHeight="1">
      <x:c r="A93" s="246"/>
      <x:c r="B93" s="247"/>
      <x:c r="C93" s="247"/>
      <x:c r="D93" s="247"/>
      <x:c r="E93" s="247"/>
      <x:c r="F93" s="247"/>
      <x:c r="G93" s="247"/>
      <x:c r="H93" s="248"/>
    </x:row>
    <x:row r="94" ht="8" customHeight="1"/>
    <x:row r="95" ht="24" customHeight="1">
      <x:c r="A95" s="253" t="str">
        <x:v>A</x:v>
      </x:c>
      <x:c r="B95" s="99" t="str">
        <x:v>Опорные.</x:v>
      </x:c>
      <x:c r="C95" s="100"/>
      <x:c r="D95" s="100"/>
      <x:c r="E95" s="100"/>
      <x:c r="F95" s="100"/>
      <x:c r="G95" s="100"/>
      <x:c r="H95" s="101"/>
    </x:row>
    <x:row r="96" ht="24" customHeight="1">
      <x:c r="A96" s="253" t="str">
        <x:v>B</x:v>
      </x:c>
      <x:c r="B96" s="99" t="str">
        <x:v>Структурно-поисковые.</x:v>
      </x:c>
      <x:c r="C96" s="100"/>
      <x:c r="D96" s="100"/>
      <x:c r="E96" s="100"/>
      <x:c r="F96" s="100"/>
      <x:c r="G96" s="100"/>
      <x:c r="H96" s="101"/>
    </x:row>
    <x:row r="97" ht="24" customHeight="1">
      <x:c r="A97" s="253" t="str">
        <x:v>C</x:v>
      </x:c>
      <x:c r="B97" s="99" t="str">
        <x:v>Разведочные.</x:v>
      </x:c>
      <x:c r="C97" s="100"/>
      <x:c r="D97" s="100"/>
      <x:c r="E97" s="100"/>
      <x:c r="F97" s="100"/>
      <x:c r="G97" s="100"/>
      <x:c r="H97" s="101"/>
    </x:row>
    <x:row r="98" ht="24" customHeight="1">
      <x:c r="A98" s="253" t="str">
        <x:v>D</x:v>
      </x:c>
      <x:c r="B98" s="99" t="str">
        <x:v>Эксплуатационные.</x:v>
      </x:c>
      <x:c r="C98" s="100"/>
      <x:c r="D98" s="100"/>
      <x:c r="E98" s="100"/>
      <x:c r="F98" s="100"/>
      <x:c r="G98" s="100"/>
      <x:c r="H98" s="101"/>
    </x:row>
    <x:row r="99" ht="24" customHeight="1">
      <x:c r="A99" s="253" t="str">
        <x:v>E</x:v>
      </x:c>
      <x:c r="B99" s="99" t="str">
        <x:v>Наблюдательные.</x:v>
      </x:c>
      <x:c r="C99" s="100"/>
      <x:c r="D99" s="100"/>
      <x:c r="E99" s="100"/>
      <x:c r="F99" s="100"/>
      <x:c r="G99" s="100"/>
      <x:c r="H99" s="101"/>
    </x:row>
    <x:row r="100" ht="8" customHeight="1"/>
    <x:row r="101" ht="28" customHeight="1">
      <x:c r="A101" s="258" t="str">
        <x:v>Ваш ответ:</x:v>
      </x:c>
      <x:c r="B101" s="259"/>
      <x:c r="C101" s="268"/>
      <x:c r="D101" s="269"/>
      <x:c r="E101" s="269"/>
      <x:c r="F101" s="269"/>
      <x:c r="G101" s="269"/>
      <x:c r="H101" s="270"/>
      <x:c r="Z101" t="n">
        <x:f>IF(C101="",0,IF(C101="E",1,0))</x:f>
        <x:v>0</x:v>
      </x:c>
      <x:c r="AA101" t="n">
        <x:f>IF(C101="",0,1)</x:f>
        <x:v>0</x:v>
      </x:c>
    </x:row>
    <x:row r="102" ht="8" customHeight="1"/>
    <x:row r="103" ht="30" customHeight="1">
      <x:c r="A103" s="343" t="str">
        <x:v>Комментарий:</x:v>
      </x:c>
      <x:c r="B103" s="344"/>
      <x:c r="C103" s="176" t="str">
        <x:f>IF(C101="","Выберите ответ.",IF(C101="A","Неверно. Этот тип скважины имеет другое назначение. Правильный вариант: E.",IF(C101="B","Неверно. Этот тип скважины имеет другое назначение. Правильный вариант: E.",IF(C101="C","Неверно. Этот тип скважины имеет другое назначение. Правильный вариант: E.",IF(C101="D","Неверно. Этот тип скважины имеет другое назначение. Правильный вариант: E.",IF(C101="E","Верно. Назначение скважины в условии соответствует выбранному типу.","Неверно. Ответ не распознан. Правильный вариант: E."))))))</x:f>
        <x:v>Выберите ответ.</x:v>
      </x:c>
      <x:c r="D103" s="177"/>
      <x:c r="E103" s="177"/>
      <x:c r="F103" s="177"/>
      <x:c r="G103" s="177"/>
      <x:c r="H103" s="178"/>
    </x:row>
    <x:row r="104" ht="30" customHeight="1">
      <x:c r="A104" s="345"/>
      <x:c r="B104" s="346"/>
      <x:c r="C104" s="179"/>
      <x:c r="D104" s="180"/>
      <x:c r="E104" s="180"/>
      <x:c r="F104" s="180"/>
      <x:c r="G104" s="180"/>
      <x:c r="H104" s="181"/>
    </x:row>
    <x:row r="106" ht="24" customHeight="1">
      <x:c r="A106" s="228" t="str">
        <x:v>Вопрос 8 из 25</x:v>
      </x:c>
      <x:c r="B106" s="228"/>
      <x:c r="C106" s="228"/>
      <x:c r="D106" s="228"/>
      <x:c r="E106" s="228"/>
      <x:c r="F106" s="228"/>
      <x:c r="G106" s="228"/>
      <x:c r="H106" s="228"/>
    </x:row>
    <x:row r="107" ht="48" customHeight="1">
      <x:c r="A107" s="243" t="str">
        <x:v>Укажите операции, проводимые при капитальном ремонте скважины, основным фактором фонтаноопасности которого является возможность поглощения задавочного раствора:</x:v>
      </x:c>
      <x:c r="B107" s="244"/>
      <x:c r="C107" s="244"/>
      <x:c r="D107" s="244"/>
      <x:c r="E107" s="244"/>
      <x:c r="F107" s="244"/>
      <x:c r="G107" s="244"/>
      <x:c r="H107" s="245"/>
    </x:row>
    <x:row r="108" ht="48" customHeight="1">
      <x:c r="A108" s="246"/>
      <x:c r="B108" s="247"/>
      <x:c r="C108" s="247"/>
      <x:c r="D108" s="247"/>
      <x:c r="E108" s="247"/>
      <x:c r="F108" s="247"/>
      <x:c r="G108" s="247"/>
      <x:c r="H108" s="248"/>
    </x:row>
    <x:row r="109" ht="8" customHeight="1"/>
    <x:row r="110" ht="24" customHeight="1">
      <x:c r="A110" s="253" t="str">
        <x:v>A</x:v>
      </x:c>
      <x:c r="B110" s="99" t="str">
        <x:v>Демонтаж (монтаж) фонтанной арматуры и противовыбросового оборудования.</x:v>
      </x:c>
      <x:c r="C110" s="100"/>
      <x:c r="D110" s="100"/>
      <x:c r="E110" s="100"/>
      <x:c r="F110" s="100"/>
      <x:c r="G110" s="100"/>
      <x:c r="H110" s="101"/>
    </x:row>
    <x:row r="111" ht="24" customHeight="1">
      <x:c r="A111" s="253" t="str">
        <x:v>B</x:v>
      </x:c>
      <x:c r="B111" s="99" t="str">
        <x:v>Опрессовка фонтанной арматуры и противовыбросового оборудования.</x:v>
      </x:c>
      <x:c r="C111" s="100"/>
      <x:c r="D111" s="100"/>
      <x:c r="E111" s="100"/>
      <x:c r="F111" s="100"/>
      <x:c r="G111" s="100"/>
      <x:c r="H111" s="101"/>
    </x:row>
    <x:row r="112" ht="24" customHeight="1">
      <x:c r="A112" s="253" t="str">
        <x:v>C</x:v>
      </x:c>
      <x:c r="B112" s="99" t="str">
        <x:v>Срыв пакера, извлечение подземного оборудования, прострелочно-взрывные работы.</x:v>
      </x:c>
      <x:c r="C112" s="100"/>
      <x:c r="D112" s="100"/>
      <x:c r="E112" s="100"/>
      <x:c r="F112" s="100"/>
      <x:c r="G112" s="100"/>
      <x:c r="H112" s="101"/>
    </x:row>
    <x:row r="113" ht="24" customHeight="1">
      <x:c r="A113" s="253" t="str">
        <x:v>D</x:v>
      </x:c>
      <x:c r="B113" s="99" t="str">
        <x:v>Соляно-кислотная и пенная обработки.</x:v>
      </x:c>
      <x:c r="C113" s="100"/>
      <x:c r="D113" s="100"/>
      <x:c r="E113" s="100"/>
      <x:c r="F113" s="100"/>
      <x:c r="G113" s="100"/>
      <x:c r="H113" s="101"/>
    </x:row>
    <x:row r="114" ht="24" customHeight="1">
      <x:c r="A114" s="253" t="str">
        <x:v>E</x:v>
      </x:c>
      <x:c r="B114" s="99" t="str">
        <x:v>Вызов притока и опробование скважины.</x:v>
      </x:c>
      <x:c r="C114" s="100"/>
      <x:c r="D114" s="100"/>
      <x:c r="E114" s="100"/>
      <x:c r="F114" s="100"/>
      <x:c r="G114" s="100"/>
      <x:c r="H114" s="101"/>
    </x:row>
    <x:row r="115" ht="8" customHeight="1"/>
    <x:row r="116" ht="28" customHeight="1">
      <x:c r="A116" s="258" t="str">
        <x:v>Ваш ответ:</x:v>
      </x:c>
      <x:c r="B116" s="259"/>
      <x:c r="C116" s="268"/>
      <x:c r="D116" s="269"/>
      <x:c r="E116" s="269"/>
      <x:c r="F116" s="269"/>
      <x:c r="G116" s="269"/>
      <x:c r="H116" s="270"/>
      <x:c r="Z116" t="n">
        <x:f>IF(C116="",0,IF(C116="B",1,0))</x:f>
        <x:v>0</x:v>
      </x:c>
      <x:c r="AA116" t="n">
        <x:f>IF(C116="",0,1)</x:f>
        <x:v>0</x:v>
      </x:c>
    </x:row>
    <x:row r="117" ht="8" customHeight="1"/>
    <x:row r="118" ht="30" customHeight="1">
      <x:c r="A118" s="343" t="str">
        <x:v>Комментарий:</x:v>
      </x:c>
      <x:c r="B118" s="344"/>
      <x:c r="C118" s="176" t="str">
        <x:f>IF(C116="","Выберите ответ.",IF(C116="A","Неверно. Эта операция относится к другому фактору фонтаноопасности. Правильный вариант: B.",IF(C116="B","Верно. Эта операция соответствует указанному фактору фонтаноопасности.",IF(C116="C","Неверно. Эта операция относится к другому фактору фонтаноопасности. Правильный вариант: B.",IF(C116="D","Неверно. Эта операция относится к другому фактору фонтаноопасности. Правильный вариант: B.",IF(C116="E","Неверно. Эта операция относится к другому фактору фонтаноопасности. Правильный вариант: B.","Неверно. Ответ не распознан. Правильный вариант: B."))))))</x:f>
        <x:v>Выберите ответ.</x:v>
      </x:c>
      <x:c r="D118" s="177"/>
      <x:c r="E118" s="177"/>
      <x:c r="F118" s="177"/>
      <x:c r="G118" s="177"/>
      <x:c r="H118" s="178"/>
    </x:row>
    <x:row r="119" ht="30" customHeight="1">
      <x:c r="A119" s="345"/>
      <x:c r="B119" s="346"/>
      <x:c r="C119" s="179"/>
      <x:c r="D119" s="180"/>
      <x:c r="E119" s="180"/>
      <x:c r="F119" s="180"/>
      <x:c r="G119" s="180"/>
      <x:c r="H119" s="181"/>
    </x:row>
    <x:row r="121" ht="24" customHeight="1">
      <x:c r="A121" s="228" t="str">
        <x:v>Вопрос 9 из 25</x:v>
      </x:c>
      <x:c r="B121" s="228"/>
      <x:c r="C121" s="228"/>
      <x:c r="D121" s="228"/>
      <x:c r="E121" s="228"/>
      <x:c r="F121" s="228"/>
      <x:c r="G121" s="228"/>
      <x:c r="H121" s="228"/>
    </x:row>
    <x:row r="122" ht="48" customHeight="1">
      <x:c r="A122" s="243" t="str">
        <x:v>Укажите операции, проводимые при капитальном ремонте скважины, основным фактором фонтаноопасности которого является работа с открытым устьем:</x:v>
      </x:c>
      <x:c r="B122" s="244"/>
      <x:c r="C122" s="244"/>
      <x:c r="D122" s="244"/>
      <x:c r="E122" s="244"/>
      <x:c r="F122" s="244"/>
      <x:c r="G122" s="244"/>
      <x:c r="H122" s="245"/>
    </x:row>
    <x:row r="123" ht="48" customHeight="1">
      <x:c r="A123" s="246"/>
      <x:c r="B123" s="247"/>
      <x:c r="C123" s="247"/>
      <x:c r="D123" s="247"/>
      <x:c r="E123" s="247"/>
      <x:c r="F123" s="247"/>
      <x:c r="G123" s="247"/>
      <x:c r="H123" s="248"/>
    </x:row>
    <x:row r="124" ht="8" customHeight="1"/>
    <x:row r="125" ht="24" customHeight="1">
      <x:c r="A125" s="253" t="str">
        <x:v>A</x:v>
      </x:c>
      <x:c r="B125" s="99" t="str">
        <x:v>Демонтаж (монтаж) фонтанной арматуры и противовыбросового оборудования.</x:v>
      </x:c>
      <x:c r="C125" s="100"/>
      <x:c r="D125" s="100"/>
      <x:c r="E125" s="100"/>
      <x:c r="F125" s="100"/>
      <x:c r="G125" s="100"/>
      <x:c r="H125" s="101"/>
    </x:row>
    <x:row r="126" ht="24" customHeight="1">
      <x:c r="A126" s="253" t="str">
        <x:v>B</x:v>
      </x:c>
      <x:c r="B126" s="99" t="str">
        <x:v>Опрессовка фонтанной арматуры и противовыбросового оборудования.</x:v>
      </x:c>
      <x:c r="C126" s="100"/>
      <x:c r="D126" s="100"/>
      <x:c r="E126" s="100"/>
      <x:c r="F126" s="100"/>
      <x:c r="G126" s="100"/>
      <x:c r="H126" s="101"/>
    </x:row>
    <x:row r="127" ht="24" customHeight="1">
      <x:c r="A127" s="253" t="str">
        <x:v>C</x:v>
      </x:c>
      <x:c r="B127" s="99" t="str">
        <x:v>Срыв пакера, извлечение подземного оборудования, прострелочно-взрывные работы.</x:v>
      </x:c>
      <x:c r="C127" s="100"/>
      <x:c r="D127" s="100"/>
      <x:c r="E127" s="100"/>
      <x:c r="F127" s="100"/>
      <x:c r="G127" s="100"/>
      <x:c r="H127" s="101"/>
    </x:row>
    <x:row r="128" ht="24" customHeight="1">
      <x:c r="A128" s="253" t="str">
        <x:v>D</x:v>
      </x:c>
      <x:c r="B128" s="99" t="str">
        <x:v>Соляно-кислотная и пенная обработки.</x:v>
      </x:c>
      <x:c r="C128" s="100"/>
      <x:c r="D128" s="100"/>
      <x:c r="E128" s="100"/>
      <x:c r="F128" s="100"/>
      <x:c r="G128" s="100"/>
      <x:c r="H128" s="101"/>
    </x:row>
    <x:row r="129" ht="24" customHeight="1">
      <x:c r="A129" s="253" t="str">
        <x:v>E</x:v>
      </x:c>
      <x:c r="B129" s="99" t="str">
        <x:v>Вызов притока и опробование скважины.</x:v>
      </x:c>
      <x:c r="C129" s="100"/>
      <x:c r="D129" s="100"/>
      <x:c r="E129" s="100"/>
      <x:c r="F129" s="100"/>
      <x:c r="G129" s="100"/>
      <x:c r="H129" s="101"/>
    </x:row>
    <x:row r="130" ht="8" customHeight="1"/>
    <x:row r="131" ht="28" customHeight="1">
      <x:c r="A131" s="258" t="str">
        <x:v>Ваш ответ:</x:v>
      </x:c>
      <x:c r="B131" s="259"/>
      <x:c r="C131" s="268"/>
      <x:c r="D131" s="269"/>
      <x:c r="E131" s="269"/>
      <x:c r="F131" s="269"/>
      <x:c r="G131" s="269"/>
      <x:c r="H131" s="270"/>
      <x:c r="Z131" t="n">
        <x:f>IF(C131="",0,IF(C131="A",1,0))</x:f>
        <x:v>0</x:v>
      </x:c>
      <x:c r="AA131" t="n">
        <x:f>IF(C131="",0,1)</x:f>
        <x:v>0</x:v>
      </x:c>
    </x:row>
    <x:row r="132" ht="8" customHeight="1"/>
    <x:row r="133" ht="30" customHeight="1">
      <x:c r="A133" s="343" t="str">
        <x:v>Комментарий:</x:v>
      </x:c>
      <x:c r="B133" s="344"/>
      <x:c r="C133" s="176" t="str">
        <x:f>IF(C131="","Выберите ответ.",IF(C131="A","Верно. Эта операция соответствует указанному фактору фонтаноопасности.",IF(C131="B","Неверно. Эта операция относится к другому фактору фонтаноопасности. Правильный вариант: A.",IF(C131="C","Неверно. Эта операция относится к другому фактору фонтаноопасности. Правильный вариант: A.",IF(C131="D","Неверно. Эта операция относится к другому фактору фонтаноопасности. Правильный вариант: A.",IF(C131="E","Неверно. Эта операция относится к другому фактору фонтаноопасности. Правильный вариант: A.","Неверно. Ответ не распознан. Правильный вариант: A."))))))</x:f>
        <x:v>Выберите ответ.</x:v>
      </x:c>
      <x:c r="D133" s="177"/>
      <x:c r="E133" s="177"/>
      <x:c r="F133" s="177"/>
      <x:c r="G133" s="177"/>
      <x:c r="H133" s="178"/>
    </x:row>
    <x:row r="134" ht="30" customHeight="1">
      <x:c r="A134" s="345"/>
      <x:c r="B134" s="346"/>
      <x:c r="C134" s="179"/>
      <x:c r="D134" s="180"/>
      <x:c r="E134" s="180"/>
      <x:c r="F134" s="180"/>
      <x:c r="G134" s="180"/>
      <x:c r="H134" s="181"/>
    </x:row>
    <x:row r="136" ht="24" customHeight="1">
      <x:c r="A136" s="228" t="str">
        <x:v>Вопрос 10 из 25</x:v>
      </x:c>
      <x:c r="B136" s="228"/>
      <x:c r="C136" s="228"/>
      <x:c r="D136" s="228"/>
      <x:c r="E136" s="228"/>
      <x:c r="F136" s="228"/>
      <x:c r="G136" s="228"/>
      <x:c r="H136" s="228"/>
    </x:row>
    <x:row r="137" ht="48" customHeight="1">
      <x:c r="A137" s="243" t="str">
        <x:v>Укажите операции, проводимые при капитальном ремонте скважины, основным фактором фонтаноопасности которого является колебания давления в скважине:</x:v>
      </x:c>
      <x:c r="B137" s="244"/>
      <x:c r="C137" s="244"/>
      <x:c r="D137" s="244"/>
      <x:c r="E137" s="244"/>
      <x:c r="F137" s="244"/>
      <x:c r="G137" s="244"/>
      <x:c r="H137" s="245"/>
    </x:row>
    <x:row r="138" ht="48" customHeight="1">
      <x:c r="A138" s="246"/>
      <x:c r="B138" s="247"/>
      <x:c r="C138" s="247"/>
      <x:c r="D138" s="247"/>
      <x:c r="E138" s="247"/>
      <x:c r="F138" s="247"/>
      <x:c r="G138" s="247"/>
      <x:c r="H138" s="248"/>
    </x:row>
    <x:row r="139" ht="8" customHeight="1"/>
    <x:row r="140" ht="24" customHeight="1">
      <x:c r="A140" s="253" t="str">
        <x:v>A</x:v>
      </x:c>
      <x:c r="B140" s="99" t="str">
        <x:v>Демонтаж (монтаж) фонтанной арматуры и противовыбросового оборудования.</x:v>
      </x:c>
      <x:c r="C140" s="100"/>
      <x:c r="D140" s="100"/>
      <x:c r="E140" s="100"/>
      <x:c r="F140" s="100"/>
      <x:c r="G140" s="100"/>
      <x:c r="H140" s="101"/>
    </x:row>
    <x:row r="141" ht="24" customHeight="1">
      <x:c r="A141" s="253" t="str">
        <x:v>B</x:v>
      </x:c>
      <x:c r="B141" s="99" t="str">
        <x:v>Опрессовка фонтанной арматуры и противовыбросового оборудования.</x:v>
      </x:c>
      <x:c r="C141" s="100"/>
      <x:c r="D141" s="100"/>
      <x:c r="E141" s="100"/>
      <x:c r="F141" s="100"/>
      <x:c r="G141" s="100"/>
      <x:c r="H141" s="101"/>
    </x:row>
    <x:row r="142" ht="24" customHeight="1">
      <x:c r="A142" s="253" t="str">
        <x:v>C</x:v>
      </x:c>
      <x:c r="B142" s="99" t="str">
        <x:v>Срыв пакера, извлечение подземного оборудования, прострелочно-взрывные работы.</x:v>
      </x:c>
      <x:c r="C142" s="100"/>
      <x:c r="D142" s="100"/>
      <x:c r="E142" s="100"/>
      <x:c r="F142" s="100"/>
      <x:c r="G142" s="100"/>
      <x:c r="H142" s="101"/>
    </x:row>
    <x:row r="143" ht="24" customHeight="1">
      <x:c r="A143" s="253" t="str">
        <x:v>D</x:v>
      </x:c>
      <x:c r="B143" s="99" t="str">
        <x:v>Соляно-кислотная и пенная обработки.</x:v>
      </x:c>
      <x:c r="C143" s="100"/>
      <x:c r="D143" s="100"/>
      <x:c r="E143" s="100"/>
      <x:c r="F143" s="100"/>
      <x:c r="G143" s="100"/>
      <x:c r="H143" s="101"/>
    </x:row>
    <x:row r="144" ht="24" customHeight="1">
      <x:c r="A144" s="253" t="str">
        <x:v>E</x:v>
      </x:c>
      <x:c r="B144" s="99" t="str">
        <x:v>Вызов притока и опробование скважины.</x:v>
      </x:c>
      <x:c r="C144" s="100"/>
      <x:c r="D144" s="100"/>
      <x:c r="E144" s="100"/>
      <x:c r="F144" s="100"/>
      <x:c r="G144" s="100"/>
      <x:c r="H144" s="101"/>
    </x:row>
    <x:row r="145" ht="8" customHeight="1"/>
    <x:row r="146" ht="28" customHeight="1">
      <x:c r="A146" s="258" t="str">
        <x:v>Ваш ответ:</x:v>
      </x:c>
      <x:c r="B146" s="259"/>
      <x:c r="C146" s="268"/>
      <x:c r="D146" s="269"/>
      <x:c r="E146" s="269"/>
      <x:c r="F146" s="269"/>
      <x:c r="G146" s="269"/>
      <x:c r="H146" s="270"/>
      <x:c r="Z146" t="n">
        <x:f>IF(C146="",0,IF(C146="C",1,0))</x:f>
        <x:v>0</x:v>
      </x:c>
      <x:c r="AA146" t="n">
        <x:f>IF(C146="",0,1)</x:f>
        <x:v>0</x:v>
      </x:c>
    </x:row>
    <x:row r="147" ht="8" customHeight="1"/>
    <x:row r="148" ht="30" customHeight="1">
      <x:c r="A148" s="343" t="str">
        <x:v>Комментарий:</x:v>
      </x:c>
      <x:c r="B148" s="344"/>
      <x:c r="C148" s="176" t="str">
        <x:f>IF(C146="","Выберите ответ.",IF(C146="A","Неверно. Эта операция относится к другому фактору фонтаноопасности. Правильный вариант: C.",IF(C146="B","Неверно. Эта операция относится к другому фактору фонтаноопасности. Правильный вариант: C.",IF(C146="C","Верно. Эта операция соответствует указанному фактору фонтаноопасности.",IF(C146="D","Неверно. Эта операция относится к другому фактору фонтаноопасности. Правильный вариант: C.",IF(C146="E","Неверно. Эта операция относится к другому фактору фонтаноопасности. Правильный вариант: C.","Неверно. Ответ не распознан. Правильный вариант: C."))))))</x:f>
        <x:v>Выберите ответ.</x:v>
      </x:c>
      <x:c r="D148" s="177"/>
      <x:c r="E148" s="177"/>
      <x:c r="F148" s="177"/>
      <x:c r="G148" s="177"/>
      <x:c r="H148" s="178"/>
    </x:row>
    <x:row r="149" ht="30" customHeight="1">
      <x:c r="A149" s="345"/>
      <x:c r="B149" s="346"/>
      <x:c r="C149" s="179"/>
      <x:c r="D149" s="180"/>
      <x:c r="E149" s="180"/>
      <x:c r="F149" s="180"/>
      <x:c r="G149" s="180"/>
      <x:c r="H149" s="181"/>
    </x:row>
    <x:row r="151" ht="24" customHeight="1">
      <x:c r="A151" s="228" t="str">
        <x:v>Вопрос 11 из 25</x:v>
      </x:c>
      <x:c r="B151" s="228"/>
      <x:c r="C151" s="228"/>
      <x:c r="D151" s="228"/>
      <x:c r="E151" s="228"/>
      <x:c r="F151" s="228"/>
      <x:c r="G151" s="228"/>
      <x:c r="H151" s="228"/>
    </x:row>
    <x:row r="152" ht="48" customHeight="1">
      <x:c r="A152" s="243" t="str">
        <x:v>Укажите операции, проводимые при капитальном ремонте скважины, основным фактором фонтаноопасности которого является снижение давления гидростатического столба жидкости вследствие закачки жидкости пониженной плотности:</x:v>
      </x:c>
      <x:c r="B152" s="244"/>
      <x:c r="C152" s="244"/>
      <x:c r="D152" s="244"/>
      <x:c r="E152" s="244"/>
      <x:c r="F152" s="244"/>
      <x:c r="G152" s="244"/>
      <x:c r="H152" s="245"/>
    </x:row>
    <x:row r="153" ht="48" customHeight="1">
      <x:c r="A153" s="246"/>
      <x:c r="B153" s="247"/>
      <x:c r="C153" s="247"/>
      <x:c r="D153" s="247"/>
      <x:c r="E153" s="247"/>
      <x:c r="F153" s="247"/>
      <x:c r="G153" s="247"/>
      <x:c r="H153" s="248"/>
    </x:row>
    <x:row r="154" ht="8" customHeight="1"/>
    <x:row r="155" ht="24" customHeight="1">
      <x:c r="A155" s="253" t="str">
        <x:v>A</x:v>
      </x:c>
      <x:c r="B155" s="99" t="str">
        <x:v>Демонтаж (монтаж) фонтанной арматуры и противовыбросового оборудования.</x:v>
      </x:c>
      <x:c r="C155" s="100"/>
      <x:c r="D155" s="100"/>
      <x:c r="E155" s="100"/>
      <x:c r="F155" s="100"/>
      <x:c r="G155" s="100"/>
      <x:c r="H155" s="101"/>
    </x:row>
    <x:row r="156" ht="24" customHeight="1">
      <x:c r="A156" s="253" t="str">
        <x:v>B</x:v>
      </x:c>
      <x:c r="B156" s="99" t="str">
        <x:v>Опрессовка фонтанной арматуры и противовыбросового оборудования.</x:v>
      </x:c>
      <x:c r="C156" s="100"/>
      <x:c r="D156" s="100"/>
      <x:c r="E156" s="100"/>
      <x:c r="F156" s="100"/>
      <x:c r="G156" s="100"/>
      <x:c r="H156" s="101"/>
    </x:row>
    <x:row r="157" ht="24" customHeight="1">
      <x:c r="A157" s="253" t="str">
        <x:v>C</x:v>
      </x:c>
      <x:c r="B157" s="99" t="str">
        <x:v>Срыв пакера, извлечение подземного оборудования, прострелочно-взрывные работы.</x:v>
      </x:c>
      <x:c r="C157" s="100"/>
      <x:c r="D157" s="100"/>
      <x:c r="E157" s="100"/>
      <x:c r="F157" s="100"/>
      <x:c r="G157" s="100"/>
      <x:c r="H157" s="101"/>
    </x:row>
    <x:row r="158" ht="24" customHeight="1">
      <x:c r="A158" s="253" t="str">
        <x:v>D</x:v>
      </x:c>
      <x:c r="B158" s="99" t="str">
        <x:v>Соляно-кислотная и пенная обработки.</x:v>
      </x:c>
      <x:c r="C158" s="100"/>
      <x:c r="D158" s="100"/>
      <x:c r="E158" s="100"/>
      <x:c r="F158" s="100"/>
      <x:c r="G158" s="100"/>
      <x:c r="H158" s="101"/>
    </x:row>
    <x:row r="159" ht="8" customHeight="1"/>
    <x:row r="160" ht="28" customHeight="1">
      <x:c r="A160" s="258" t="str">
        <x:v>Ваш ответ:</x:v>
      </x:c>
      <x:c r="B160" s="259"/>
      <x:c r="C160" s="268"/>
      <x:c r="D160" s="269"/>
      <x:c r="E160" s="269"/>
      <x:c r="F160" s="269"/>
      <x:c r="G160" s="269"/>
      <x:c r="H160" s="270"/>
      <x:c r="Z160" t="n">
        <x:f>IF(C160="",0,IF(C160="D",1,0))</x:f>
        <x:v>0</x:v>
      </x:c>
      <x:c r="AA160" t="n">
        <x:f>IF(C160="",0,1)</x:f>
        <x:v>0</x:v>
      </x:c>
    </x:row>
    <x:row r="161" ht="8" customHeight="1"/>
    <x:row r="162" ht="30" customHeight="1">
      <x:c r="A162" s="343" t="str">
        <x:v>Комментарий:</x:v>
      </x:c>
      <x:c r="B162" s="344"/>
      <x:c r="C162" s="176" t="str">
        <x:f>IF(C160="","Выберите ответ.",IF(C160="A","Неверно. Эта операция относится к другому фактору фонтаноопасности. Правильный вариант: D.",IF(C160="B","Неверно. Эта операция относится к другому фактору фонтаноопасности. Правильный вариант: D.",IF(C160="C","Неверно. Эта операция относится к другому фактору фонтаноопасности. Правильный вариант: D.",IF(C160="D","Верно. Эта операция соответствует указанному фактору фонтаноопасности.","Неверно. Ответ не распознан. Правильный вариант: D.")))))</x:f>
        <x:v>Выберите ответ.</x:v>
      </x:c>
      <x:c r="D162" s="177"/>
      <x:c r="E162" s="177"/>
      <x:c r="F162" s="177"/>
      <x:c r="G162" s="177"/>
      <x:c r="H162" s="178"/>
    </x:row>
    <x:row r="163" ht="30" customHeight="1">
      <x:c r="A163" s="345"/>
      <x:c r="B163" s="346"/>
      <x:c r="C163" s="179"/>
      <x:c r="D163" s="180"/>
      <x:c r="E163" s="180"/>
      <x:c r="F163" s="180"/>
      <x:c r="G163" s="180"/>
      <x:c r="H163" s="181"/>
    </x:row>
    <x:row r="165" ht="24" customHeight="1">
      <x:c r="A165" s="228" t="str">
        <x:v>Вопрос 12 из 25</x:v>
      </x:c>
      <x:c r="B165" s="228"/>
      <x:c r="C165" s="228"/>
      <x:c r="D165" s="228"/>
      <x:c r="E165" s="228"/>
      <x:c r="F165" s="228"/>
      <x:c r="G165" s="228"/>
      <x:c r="H165" s="228"/>
    </x:row>
    <x:row r="166" ht="48" customHeight="1">
      <x:c r="A166" s="243" t="str">
        <x:v>Как изменяется уровень бурового раствора в скважине при проведении операции по извлечению бурильного инструмента с забоя?</x:v>
      </x:c>
      <x:c r="B166" s="244"/>
      <x:c r="C166" s="244"/>
      <x:c r="D166" s="244"/>
      <x:c r="E166" s="244"/>
      <x:c r="F166" s="244"/>
      <x:c r="G166" s="244"/>
      <x:c r="H166" s="245"/>
    </x:row>
    <x:row r="167" ht="48" customHeight="1">
      <x:c r="A167" s="246"/>
      <x:c r="B167" s="247"/>
      <x:c r="C167" s="247"/>
      <x:c r="D167" s="247"/>
      <x:c r="E167" s="247"/>
      <x:c r="F167" s="247"/>
      <x:c r="G167" s="247"/>
      <x:c r="H167" s="248"/>
    </x:row>
    <x:row r="168" ht="8" customHeight="1"/>
    <x:row r="169" ht="24" customHeight="1">
      <x:c r="A169" s="253" t="str">
        <x:v>A</x:v>
      </x:c>
      <x:c r="B169" s="99" t="str">
        <x:v>Увеличивается.</x:v>
      </x:c>
      <x:c r="C169" s="100"/>
      <x:c r="D169" s="100"/>
      <x:c r="E169" s="100"/>
      <x:c r="F169" s="100"/>
      <x:c r="G169" s="100"/>
      <x:c r="H169" s="101"/>
    </x:row>
    <x:row r="170" ht="24" customHeight="1">
      <x:c r="A170" s="253" t="str">
        <x:v>B</x:v>
      </x:c>
      <x:c r="B170" s="99" t="str">
        <x:v>Уменьшается.</x:v>
      </x:c>
      <x:c r="C170" s="100"/>
      <x:c r="D170" s="100"/>
      <x:c r="E170" s="100"/>
      <x:c r="F170" s="100"/>
      <x:c r="G170" s="100"/>
      <x:c r="H170" s="101"/>
    </x:row>
    <x:row r="171" ht="24" customHeight="1">
      <x:c r="A171" s="253" t="str">
        <x:v>C</x:v>
      </x:c>
      <x:c r="B171" s="99" t="str">
        <x:v>Остается неизменным.</x:v>
      </x:c>
      <x:c r="C171" s="100"/>
      <x:c r="D171" s="100"/>
      <x:c r="E171" s="100"/>
      <x:c r="F171" s="100"/>
      <x:c r="G171" s="100"/>
      <x:c r="H171" s="101"/>
    </x:row>
    <x:row r="172" ht="8" customHeight="1"/>
    <x:row r="173" ht="28" customHeight="1">
      <x:c r="A173" s="258" t="str">
        <x:v>Ваш ответ:</x:v>
      </x:c>
      <x:c r="B173" s="259"/>
      <x:c r="C173" s="268"/>
      <x:c r="D173" s="269"/>
      <x:c r="E173" s="269"/>
      <x:c r="F173" s="269"/>
      <x:c r="G173" s="269"/>
      <x:c r="H173" s="270"/>
      <x:c r="Z173" t="n">
        <x:f>IF(C173="",0,IF(C173="B",1,0))</x:f>
        <x:v>0</x:v>
      </x:c>
      <x:c r="AA173" t="n">
        <x:f>IF(C173="",0,1)</x:f>
        <x:v>0</x:v>
      </x:c>
    </x:row>
    <x:row r="174" ht="8" customHeight="1"/>
    <x:row r="175" ht="30" customHeight="1">
      <x:c r="A175" s="343" t="str">
        <x:v>Комментарий:</x:v>
      </x:c>
      <x:c r="B175" s="344"/>
      <x:c r="C175" s="176" t="str">
        <x:f>IF(C173="","Выберите ответ.",IF(C173="A","Неверно. Направление изменения параметра указано неправильно. Правильный вариант: B.",IF(C173="B","Верно. Направление изменения параметра соответствует процессу, указанному в исходном тесте.",IF(C173="C","Неверно. Направление изменения параметра указано неправильно. Правильный вариант: B.","Неверно. Ответ не распознан. Правильный вариант: B."))))</x:f>
        <x:v>Выберите ответ.</x:v>
      </x:c>
      <x:c r="D175" s="177"/>
      <x:c r="E175" s="177"/>
      <x:c r="F175" s="177"/>
      <x:c r="G175" s="177"/>
      <x:c r="H175" s="178"/>
    </x:row>
    <x:row r="176" ht="30" customHeight="1">
      <x:c r="A176" s="345"/>
      <x:c r="B176" s="346"/>
      <x:c r="C176" s="179"/>
      <x:c r="D176" s="180"/>
      <x:c r="E176" s="180"/>
      <x:c r="F176" s="180"/>
      <x:c r="G176" s="180"/>
      <x:c r="H176" s="181"/>
    </x:row>
    <x:row r="178" ht="24" customHeight="1">
      <x:c r="A178" s="228" t="str">
        <x:v>Вопрос 13 из 25</x:v>
      </x:c>
      <x:c r="B178" s="228"/>
      <x:c r="C178" s="228"/>
      <x:c r="D178" s="228"/>
      <x:c r="E178" s="228"/>
      <x:c r="F178" s="228"/>
      <x:c r="G178" s="228"/>
      <x:c r="H178" s="228"/>
    </x:row>
    <x:row r="179" ht="48" customHeight="1">
      <x:c r="A179" s="243" t="str">
        <x:v>Как изменяется уровень бурового раствора в скважине при проведении операции по спуску бурильного инструмента на забой?</x:v>
      </x:c>
      <x:c r="B179" s="244"/>
      <x:c r="C179" s="244"/>
      <x:c r="D179" s="244"/>
      <x:c r="E179" s="244"/>
      <x:c r="F179" s="244"/>
      <x:c r="G179" s="244"/>
      <x:c r="H179" s="245"/>
    </x:row>
    <x:row r="180" ht="48" customHeight="1">
      <x:c r="A180" s="246"/>
      <x:c r="B180" s="247"/>
      <x:c r="C180" s="247"/>
      <x:c r="D180" s="247"/>
      <x:c r="E180" s="247"/>
      <x:c r="F180" s="247"/>
      <x:c r="G180" s="247"/>
      <x:c r="H180" s="248"/>
    </x:row>
    <x:row r="181" ht="8" customHeight="1"/>
    <x:row r="182" ht="24" customHeight="1">
      <x:c r="A182" s="253" t="str">
        <x:v>A</x:v>
      </x:c>
      <x:c r="B182" s="99" t="str">
        <x:v>Увеличивается.</x:v>
      </x:c>
      <x:c r="C182" s="100"/>
      <x:c r="D182" s="100"/>
      <x:c r="E182" s="100"/>
      <x:c r="F182" s="100"/>
      <x:c r="G182" s="100"/>
      <x:c r="H182" s="101"/>
    </x:row>
    <x:row r="183" ht="24" customHeight="1">
      <x:c r="A183" s="253" t="str">
        <x:v>B</x:v>
      </x:c>
      <x:c r="B183" s="99" t="str">
        <x:v>Уменьшается.</x:v>
      </x:c>
      <x:c r="C183" s="100"/>
      <x:c r="D183" s="100"/>
      <x:c r="E183" s="100"/>
      <x:c r="F183" s="100"/>
      <x:c r="G183" s="100"/>
      <x:c r="H183" s="101"/>
    </x:row>
    <x:row r="184" ht="24" customHeight="1">
      <x:c r="A184" s="253" t="str">
        <x:v>C</x:v>
      </x:c>
      <x:c r="B184" s="99" t="str">
        <x:v>Остается неизменным.</x:v>
      </x:c>
      <x:c r="C184" s="100"/>
      <x:c r="D184" s="100"/>
      <x:c r="E184" s="100"/>
      <x:c r="F184" s="100"/>
      <x:c r="G184" s="100"/>
      <x:c r="H184" s="101"/>
    </x:row>
    <x:row r="185" ht="8" customHeight="1"/>
    <x:row r="186" ht="28" customHeight="1">
      <x:c r="A186" s="258" t="str">
        <x:v>Ваш ответ:</x:v>
      </x:c>
      <x:c r="B186" s="259"/>
      <x:c r="C186" s="268"/>
      <x:c r="D186" s="269"/>
      <x:c r="E186" s="269"/>
      <x:c r="F186" s="269"/>
      <x:c r="G186" s="269"/>
      <x:c r="H186" s="270"/>
      <x:c r="Z186" t="n">
        <x:f>IF(C186="",0,IF(C186="A",1,0))</x:f>
        <x:v>0</x:v>
      </x:c>
      <x:c r="AA186" t="n">
        <x:f>IF(C186="",0,1)</x:f>
        <x:v>0</x:v>
      </x:c>
    </x:row>
    <x:row r="187" ht="8" customHeight="1"/>
    <x:row r="188" ht="30" customHeight="1">
      <x:c r="A188" s="343" t="str">
        <x:v>Комментарий:</x:v>
      </x:c>
      <x:c r="B188" s="344"/>
      <x:c r="C188" s="176" t="str">
        <x:f>IF(C186="","Выберите ответ.",IF(C186="A","Верно. Направление изменения параметра соответствует процессу, указанному в исходном тесте.",IF(C186="B","Неверно. Направление изменения параметра указано неправильно. Правильный вариант: A.",IF(C186="C","Неверно. Направление изменения параметра указано неправильно. Правильный вариант: A.","Неверно. Ответ не распознан. Правильный вариант: A."))))</x:f>
        <x:v>Выберите ответ.</x:v>
      </x:c>
      <x:c r="D188" s="177"/>
      <x:c r="E188" s="177"/>
      <x:c r="F188" s="177"/>
      <x:c r="G188" s="177"/>
      <x:c r="H188" s="178"/>
    </x:row>
    <x:row r="189" ht="30" customHeight="1">
      <x:c r="A189" s="345"/>
      <x:c r="B189" s="346"/>
      <x:c r="C189" s="179"/>
      <x:c r="D189" s="180"/>
      <x:c r="E189" s="180"/>
      <x:c r="F189" s="180"/>
      <x:c r="G189" s="180"/>
      <x:c r="H189" s="181"/>
    </x:row>
    <x:row r="191" ht="24" customHeight="1">
      <x:c r="A191" s="228" t="str">
        <x:v>Вопрос 14 из 25</x:v>
      </x:c>
      <x:c r="B191" s="228"/>
      <x:c r="C191" s="228"/>
      <x:c r="D191" s="228"/>
      <x:c r="E191" s="228"/>
      <x:c r="F191" s="228"/>
      <x:c r="G191" s="228"/>
      <x:c r="H191" s="228"/>
    </x:row>
    <x:row r="192" ht="48" customHeight="1">
      <x:c r="A192" s="243" t="str">
        <x:v>Как изменяется абсолютное значение гидродинамического давления на башмаке бурильных труб при движении колонны вверх с увеличением скорости подъема?</x:v>
      </x:c>
      <x:c r="B192" s="244"/>
      <x:c r="C192" s="244"/>
      <x:c r="D192" s="244"/>
      <x:c r="E192" s="244"/>
      <x:c r="F192" s="244"/>
      <x:c r="G192" s="244"/>
      <x:c r="H192" s="245"/>
    </x:row>
    <x:row r="193" ht="48" customHeight="1">
      <x:c r="A193" s="246"/>
      <x:c r="B193" s="247"/>
      <x:c r="C193" s="247"/>
      <x:c r="D193" s="247"/>
      <x:c r="E193" s="247"/>
      <x:c r="F193" s="247"/>
      <x:c r="G193" s="247"/>
      <x:c r="H193" s="248"/>
    </x:row>
    <x:row r="194" ht="8" customHeight="1"/>
    <x:row r="195" ht="24" customHeight="1">
      <x:c r="A195" s="253" t="str">
        <x:v>A</x:v>
      </x:c>
      <x:c r="B195" s="99" t="str">
        <x:v>Увеличивается.</x:v>
      </x:c>
      <x:c r="C195" s="100"/>
      <x:c r="D195" s="100"/>
      <x:c r="E195" s="100"/>
      <x:c r="F195" s="100"/>
      <x:c r="G195" s="100"/>
      <x:c r="H195" s="101"/>
    </x:row>
    <x:row r="196" ht="24" customHeight="1">
      <x:c r="A196" s="253" t="str">
        <x:v>B</x:v>
      </x:c>
      <x:c r="B196" s="99" t="str">
        <x:v>Уменьшается.</x:v>
      </x:c>
      <x:c r="C196" s="100"/>
      <x:c r="D196" s="100"/>
      <x:c r="E196" s="100"/>
      <x:c r="F196" s="100"/>
      <x:c r="G196" s="100"/>
      <x:c r="H196" s="101"/>
    </x:row>
    <x:row r="197" ht="24" customHeight="1">
      <x:c r="A197" s="253" t="str">
        <x:v>C</x:v>
      </x:c>
      <x:c r="B197" s="99" t="str">
        <x:v>Остается неизменным.</x:v>
      </x:c>
      <x:c r="C197" s="100"/>
      <x:c r="D197" s="100"/>
      <x:c r="E197" s="100"/>
      <x:c r="F197" s="100"/>
      <x:c r="G197" s="100"/>
      <x:c r="H197" s="101"/>
    </x:row>
    <x:row r="198" ht="8" customHeight="1"/>
    <x:row r="199" ht="28" customHeight="1">
      <x:c r="A199" s="258" t="str">
        <x:v>Ваш ответ:</x:v>
      </x:c>
      <x:c r="B199" s="259"/>
      <x:c r="C199" s="268"/>
      <x:c r="D199" s="269"/>
      <x:c r="E199" s="269"/>
      <x:c r="F199" s="269"/>
      <x:c r="G199" s="269"/>
      <x:c r="H199" s="270"/>
      <x:c r="Z199" t="n">
        <x:f>IF(C199="",0,IF(C199="B",1,0))</x:f>
        <x:v>0</x:v>
      </x:c>
      <x:c r="AA199" t="n">
        <x:f>IF(C199="",0,1)</x:f>
        <x:v>0</x:v>
      </x:c>
    </x:row>
    <x:row r="200" ht="8" customHeight="1"/>
    <x:row r="201" ht="30" customHeight="1">
      <x:c r="A201" s="343" t="str">
        <x:v>Комментарий:</x:v>
      </x:c>
      <x:c r="B201" s="344"/>
      <x:c r="C201" s="176" t="str">
        <x:f>IF(C199="","Выберите ответ.",IF(C199="A","Неверно. Направление изменения параметра указано неправильно. Правильный вариант: B.",IF(C199="B","Верно. Направление изменения параметра соответствует процессу, указанному в исходном тесте.",IF(C199="C","Неверно. Направление изменения параметра указано неправильно. Правильный вариант: B.","Неверно. Ответ не распознан. Правильный вариант: B."))))</x:f>
        <x:v>Выберите ответ.</x:v>
      </x:c>
      <x:c r="D201" s="177"/>
      <x:c r="E201" s="177"/>
      <x:c r="F201" s="177"/>
      <x:c r="G201" s="177"/>
      <x:c r="H201" s="178"/>
    </x:row>
    <x:row r="202" ht="30" customHeight="1">
      <x:c r="A202" s="345"/>
      <x:c r="B202" s="346"/>
      <x:c r="C202" s="179"/>
      <x:c r="D202" s="180"/>
      <x:c r="E202" s="180"/>
      <x:c r="F202" s="180"/>
      <x:c r="G202" s="180"/>
      <x:c r="H202" s="181"/>
    </x:row>
    <x:row r="204" ht="24" customHeight="1">
      <x:c r="A204" s="228" t="str">
        <x:v>Вопрос 15 из 25</x:v>
      </x:c>
      <x:c r="B204" s="228"/>
      <x:c r="C204" s="228"/>
      <x:c r="D204" s="228"/>
      <x:c r="E204" s="228"/>
      <x:c r="F204" s="228"/>
      <x:c r="G204" s="228"/>
      <x:c r="H204" s="228"/>
    </x:row>
    <x:row r="205" ht="48" customHeight="1">
      <x:c r="A205" s="243" t="str">
        <x:v>Как изменяется абсолютное значение гидродинамического давления на башмаке бурильных труб при движении колонны вниз с увеличением скорости спуска?</x:v>
      </x:c>
      <x:c r="B205" s="244"/>
      <x:c r="C205" s="244"/>
      <x:c r="D205" s="244"/>
      <x:c r="E205" s="244"/>
      <x:c r="F205" s="244"/>
      <x:c r="G205" s="244"/>
      <x:c r="H205" s="245"/>
    </x:row>
    <x:row r="206" ht="48" customHeight="1">
      <x:c r="A206" s="246"/>
      <x:c r="B206" s="247"/>
      <x:c r="C206" s="247"/>
      <x:c r="D206" s="247"/>
      <x:c r="E206" s="247"/>
      <x:c r="F206" s="247"/>
      <x:c r="G206" s="247"/>
      <x:c r="H206" s="248"/>
    </x:row>
    <x:row r="207" ht="8" customHeight="1"/>
    <x:row r="208" ht="24" customHeight="1">
      <x:c r="A208" s="253" t="str">
        <x:v>A</x:v>
      </x:c>
      <x:c r="B208" s="99" t="str">
        <x:v>Увеличивается.</x:v>
      </x:c>
      <x:c r="C208" s="100"/>
      <x:c r="D208" s="100"/>
      <x:c r="E208" s="100"/>
      <x:c r="F208" s="100"/>
      <x:c r="G208" s="100"/>
      <x:c r="H208" s="101"/>
    </x:row>
    <x:row r="209" ht="24" customHeight="1">
      <x:c r="A209" s="253" t="str">
        <x:v>B</x:v>
      </x:c>
      <x:c r="B209" s="99" t="str">
        <x:v>Уменьшается.</x:v>
      </x:c>
      <x:c r="C209" s="100"/>
      <x:c r="D209" s="100"/>
      <x:c r="E209" s="100"/>
      <x:c r="F209" s="100"/>
      <x:c r="G209" s="100"/>
      <x:c r="H209" s="101"/>
    </x:row>
    <x:row r="210" ht="24" customHeight="1">
      <x:c r="A210" s="253" t="str">
        <x:v>C</x:v>
      </x:c>
      <x:c r="B210" s="99" t="str">
        <x:v>Остается неизменным.</x:v>
      </x:c>
      <x:c r="C210" s="100"/>
      <x:c r="D210" s="100"/>
      <x:c r="E210" s="100"/>
      <x:c r="F210" s="100"/>
      <x:c r="G210" s="100"/>
      <x:c r="H210" s="101"/>
    </x:row>
    <x:row r="211" ht="8" customHeight="1"/>
    <x:row r="212" ht="28" customHeight="1">
      <x:c r="A212" s="258" t="str">
        <x:v>Ваш ответ:</x:v>
      </x:c>
      <x:c r="B212" s="259"/>
      <x:c r="C212" s="268"/>
      <x:c r="D212" s="269"/>
      <x:c r="E212" s="269"/>
      <x:c r="F212" s="269"/>
      <x:c r="G212" s="269"/>
      <x:c r="H212" s="270"/>
      <x:c r="Z212" t="n">
        <x:f>IF(C212="",0,IF(C212="A",1,0))</x:f>
        <x:v>0</x:v>
      </x:c>
      <x:c r="AA212" t="n">
        <x:f>IF(C212="",0,1)</x:f>
        <x:v>0</x:v>
      </x:c>
    </x:row>
    <x:row r="213" ht="8" customHeight="1"/>
    <x:row r="214" ht="30" customHeight="1">
      <x:c r="A214" s="343" t="str">
        <x:v>Комментарий:</x:v>
      </x:c>
      <x:c r="B214" s="344"/>
      <x:c r="C214" s="176" t="str">
        <x:f>IF(C212="","Выберите ответ.",IF(C212="A","Верно. Направление изменения параметра соответствует процессу, указанному в исходном тесте.",IF(C212="B","Неверно. Направление изменения параметра указано неправильно. Правильный вариант: A.",IF(C212="C","Неверно. Направление изменения параметра указано неправильно. Правильный вариант: A.","Неверно. Ответ не распознан. Правильный вариант: A."))))</x:f>
        <x:v>Выберите ответ.</x:v>
      </x:c>
      <x:c r="D214" s="177"/>
      <x:c r="E214" s="177"/>
      <x:c r="F214" s="177"/>
      <x:c r="G214" s="177"/>
      <x:c r="H214" s="178"/>
    </x:row>
    <x:row r="215" ht="30" customHeight="1">
      <x:c r="A215" s="345"/>
      <x:c r="B215" s="346"/>
      <x:c r="C215" s="179"/>
      <x:c r="D215" s="180"/>
      <x:c r="E215" s="180"/>
      <x:c r="F215" s="180"/>
      <x:c r="G215" s="180"/>
      <x:c r="H215" s="181"/>
    </x:row>
    <x:row r="217" ht="24" customHeight="1">
      <x:c r="A217" s="228" t="str">
        <x:v>Вопрос 16 из 25</x:v>
      </x:c>
      <x:c r="B217" s="228"/>
      <x:c r="C217" s="228"/>
      <x:c r="D217" s="228"/>
      <x:c r="E217" s="228"/>
      <x:c r="F217" s="228"/>
      <x:c r="G217" s="228"/>
      <x:c r="H217" s="228"/>
    </x:row>
    <x:row r="218" ht="62" customHeight="1">
      <x:c r="A218" s="243" t="str">
        <x:v>Бурение скважины ведётся на глубине H = 2600 м, плотность бурового раствора ρ = 1120 кг/м³, давление гидроразрыва пласта Ргрп = 32,5 МПа. Определите величину допустимого гидродинамического давления при спуске бурильного инструмента.</x:v>
      </x:c>
      <x:c r="B218" s="244"/>
      <x:c r="C218" s="244"/>
      <x:c r="D218" s="244"/>
      <x:c r="E218" s="244"/>
      <x:c r="F218" s="244"/>
      <x:c r="G218" s="244"/>
      <x:c r="H218" s="245"/>
    </x:row>
    <x:row r="219" ht="62" customHeight="1">
      <x:c r="A219" s="246"/>
      <x:c r="B219" s="247"/>
      <x:c r="C219" s="247"/>
      <x:c r="D219" s="247"/>
      <x:c r="E219" s="247"/>
      <x:c r="F219" s="247"/>
      <x:c r="G219" s="247"/>
      <x:c r="H219" s="248"/>
    </x:row>
    <x:row r="220" ht="8" customHeight="1"/>
    <x:row r="221" ht="24" customHeight="1">
      <x:c r="A221" s="253" t="str">
        <x:v>A</x:v>
      </x:c>
      <x:c r="B221" s="99" t="str">
        <x:v>2,53 МПа</x:v>
      </x:c>
      <x:c r="C221" s="100"/>
      <x:c r="D221" s="100"/>
      <x:c r="E221" s="100"/>
      <x:c r="F221" s="100"/>
      <x:c r="G221" s="100"/>
      <x:c r="H221" s="101"/>
    </x:row>
    <x:row r="222" ht="24" customHeight="1">
      <x:c r="A222" s="253" t="str">
        <x:v>B</x:v>
      </x:c>
      <x:c r="B222" s="99" t="str">
        <x:v>3,15 МПа</x:v>
      </x:c>
      <x:c r="C222" s="100"/>
      <x:c r="D222" s="100"/>
      <x:c r="E222" s="100"/>
      <x:c r="F222" s="100"/>
      <x:c r="G222" s="100"/>
      <x:c r="H222" s="101"/>
    </x:row>
    <x:row r="223" ht="24" customHeight="1">
      <x:c r="A223" s="253" t="str">
        <x:v>C</x:v>
      </x:c>
      <x:c r="B223" s="99" t="str">
        <x:v>2,95 МПа</x:v>
      </x:c>
      <x:c r="C223" s="100"/>
      <x:c r="D223" s="100"/>
      <x:c r="E223" s="100"/>
      <x:c r="F223" s="100"/>
      <x:c r="G223" s="100"/>
      <x:c r="H223" s="101"/>
    </x:row>
    <x:row r="224" ht="8" customHeight="1"/>
    <x:row r="225" ht="28" customHeight="1">
      <x:c r="A225" s="258" t="str">
        <x:v>Ваш ответ:</x:v>
      </x:c>
      <x:c r="B225" s="259"/>
      <x:c r="C225" s="268"/>
      <x:c r="D225" s="269"/>
      <x:c r="E225" s="269"/>
      <x:c r="F225" s="269"/>
      <x:c r="G225" s="269"/>
      <x:c r="H225" s="270"/>
      <x:c r="Z225" t="n">
        <x:f>IF(C225="",0,IF(C225="C",1,0))</x:f>
        <x:v>0</x:v>
      </x:c>
      <x:c r="AA225" t="n">
        <x:f>IF(C225="",0,1)</x:f>
        <x:v>0</x:v>
      </x:c>
    </x:row>
    <x:row r="226" ht="8" customHeight="1"/>
    <x:row r="227" ht="30" customHeight="1">
      <x:c r="A227" s="343" t="str">
        <x:v>Комментарий:</x:v>
      </x:c>
      <x:c r="B227" s="344"/>
      <x:c r="C227" s="176" t="str">
        <x:f>IF(C225="","Выберите ответ.",IF(C225="A","Неверно. Указано другое нормативное значение или предел. Правильный вариант: C.",IF(C225="B","Неверно. Указано другое нормативное значение или предел. Правильный вариант: C.",IF(C225="C","Верно. Указано нормативное значение или предел, приведённый в исходном тесте.","Неверно. Ответ не распознан. Правильный вариант: C."))))</x:f>
        <x:v>Выберите ответ.</x:v>
      </x:c>
      <x:c r="D227" s="177"/>
      <x:c r="E227" s="177"/>
      <x:c r="F227" s="177"/>
      <x:c r="G227" s="177"/>
      <x:c r="H227" s="178"/>
    </x:row>
    <x:row r="228" ht="30" customHeight="1">
      <x:c r="A228" s="345"/>
      <x:c r="B228" s="346"/>
      <x:c r="C228" s="179"/>
      <x:c r="D228" s="180"/>
      <x:c r="E228" s="180"/>
      <x:c r="F228" s="180"/>
      <x:c r="G228" s="180"/>
      <x:c r="H228" s="181"/>
    </x:row>
    <x:row r="230" ht="24" customHeight="1">
      <x:c r="A230" s="228" t="str">
        <x:v>Вопрос 17 из 25</x:v>
      </x:c>
      <x:c r="B230" s="228"/>
      <x:c r="C230" s="228"/>
      <x:c r="D230" s="228"/>
      <x:c r="E230" s="228"/>
      <x:c r="F230" s="228"/>
      <x:c r="G230" s="228"/>
      <x:c r="H230" s="228"/>
    </x:row>
    <x:row r="231" ht="48" customHeight="1">
      <x:c r="A231" s="243" t="str">
        <x:v>Бурение скважины ведётся на глубине H = 3950 м, плотность бурового раствора 1450 кг/м³, пластовое давление Рпл = 57,0 МПа. Возможен ли приток флюида в скважину?</x:v>
      </x:c>
      <x:c r="B231" s="244"/>
      <x:c r="C231" s="244"/>
      <x:c r="D231" s="244"/>
      <x:c r="E231" s="244"/>
      <x:c r="F231" s="244"/>
      <x:c r="G231" s="244"/>
      <x:c r="H231" s="245"/>
    </x:row>
    <x:row r="232" ht="48" customHeight="1">
      <x:c r="A232" s="246"/>
      <x:c r="B232" s="247"/>
      <x:c r="C232" s="247"/>
      <x:c r="D232" s="247"/>
      <x:c r="E232" s="247"/>
      <x:c r="F232" s="247"/>
      <x:c r="G232" s="247"/>
      <x:c r="H232" s="248"/>
    </x:row>
    <x:row r="233" ht="8" customHeight="1"/>
    <x:row r="234" ht="24" customHeight="1">
      <x:c r="A234" s="253" t="str">
        <x:v>A</x:v>
      </x:c>
      <x:c r="B234" s="99" t="str">
        <x:v>Да.</x:v>
      </x:c>
      <x:c r="C234" s="100"/>
      <x:c r="D234" s="100"/>
      <x:c r="E234" s="100"/>
      <x:c r="F234" s="100"/>
      <x:c r="G234" s="100"/>
      <x:c r="H234" s="101"/>
    </x:row>
    <x:row r="235" ht="24" customHeight="1">
      <x:c r="A235" s="253" t="str">
        <x:v>B</x:v>
      </x:c>
      <x:c r="B235" s="99" t="str">
        <x:v>Нет.</x:v>
      </x:c>
      <x:c r="C235" s="100"/>
      <x:c r="D235" s="100"/>
      <x:c r="E235" s="100"/>
      <x:c r="F235" s="100"/>
      <x:c r="G235" s="100"/>
      <x:c r="H235" s="101"/>
    </x:row>
    <x:row r="236" ht="8" customHeight="1"/>
    <x:row r="237" ht="28" customHeight="1">
      <x:c r="A237" s="258" t="str">
        <x:v>Ваш ответ:</x:v>
      </x:c>
      <x:c r="B237" s="259"/>
      <x:c r="C237" s="268"/>
      <x:c r="D237" s="269"/>
      <x:c r="E237" s="269"/>
      <x:c r="F237" s="269"/>
      <x:c r="G237" s="269"/>
      <x:c r="H237" s="270"/>
      <x:c r="Z237" t="n">
        <x:f>IF(C237="",0,IF(C237="A",1,0))</x:f>
        <x:v>0</x:v>
      </x:c>
      <x:c r="AA237" t="n">
        <x:f>IF(C237="",0,1)</x:f>
        <x:v>0</x:v>
      </x:c>
    </x:row>
    <x:row r="238" ht="8" customHeight="1"/>
    <x:row r="239" ht="30" customHeight="1">
      <x:c r="A239" s="343" t="str">
        <x:v>Комментарий:</x:v>
      </x:c>
      <x:c r="B239" s="344"/>
      <x:c r="C239" s="176" t="str">
        <x:f>IF(C237="","Выберите ответ.",IF(C237="A","Верно. Этот вариант соответствует ключу исходного теста.",IF(C237="B","Неверно. Этот вариант не соответствует ключу исходного теста. Правильный вариант: A.","Неверно. Ответ не распознан. Правильный вариант: A.")))</x:f>
        <x:v>Выберите ответ.</x:v>
      </x:c>
      <x:c r="D239" s="177"/>
      <x:c r="E239" s="177"/>
      <x:c r="F239" s="177"/>
      <x:c r="G239" s="177"/>
      <x:c r="H239" s="178"/>
    </x:row>
    <x:row r="240" ht="30" customHeight="1">
      <x:c r="A240" s="345"/>
      <x:c r="B240" s="346"/>
      <x:c r="C240" s="179"/>
      <x:c r="D240" s="180"/>
      <x:c r="E240" s="180"/>
      <x:c r="F240" s="180"/>
      <x:c r="G240" s="180"/>
      <x:c r="H240" s="181"/>
    </x:row>
    <x:row r="242" ht="24" customHeight="1">
      <x:c r="A242" s="228" t="str">
        <x:v>Вопрос 18 из 25</x:v>
      </x:c>
      <x:c r="B242" s="228"/>
      <x:c r="C242" s="228"/>
      <x:c r="D242" s="228"/>
      <x:c r="E242" s="228"/>
      <x:c r="F242" s="228"/>
      <x:c r="G242" s="228"/>
      <x:c r="H242" s="228"/>
    </x:row>
    <x:row r="243" ht="62" customHeight="1">
      <x:c r="A243" s="243" t="str">
        <x:v>Бурение скважины ведётся на глубине H = 2500 м, плотность бурового раствора ρ = 1450 кг/м³, градиент пластового давления Gпл = 0,1395 атм/м. Определите на сколько метров должен упасть уровень раствора в скважине, чтобы при этом началось проявление:</x:v>
      </x:c>
      <x:c r="B243" s="244"/>
      <x:c r="C243" s="244"/>
      <x:c r="D243" s="244"/>
      <x:c r="E243" s="244"/>
      <x:c r="F243" s="244"/>
      <x:c r="G243" s="244"/>
      <x:c r="H243" s="245"/>
    </x:row>
    <x:row r="244" ht="62" customHeight="1">
      <x:c r="A244" s="246"/>
      <x:c r="B244" s="247"/>
      <x:c r="C244" s="247"/>
      <x:c r="D244" s="247"/>
      <x:c r="E244" s="247"/>
      <x:c r="F244" s="247"/>
      <x:c r="G244" s="247"/>
      <x:c r="H244" s="248"/>
    </x:row>
    <x:row r="245" ht="8" customHeight="1"/>
    <x:row r="246" ht="24" customHeight="1">
      <x:c r="A246" s="253" t="str">
        <x:v>A</x:v>
      </x:c>
      <x:c r="B246" s="99" t="str">
        <x:v>48,5 м</x:v>
      </x:c>
      <x:c r="C246" s="100"/>
      <x:c r="D246" s="100"/>
      <x:c r="E246" s="100"/>
      <x:c r="F246" s="100"/>
      <x:c r="G246" s="100"/>
      <x:c r="H246" s="101"/>
    </x:row>
    <x:row r="247" ht="24" customHeight="1">
      <x:c r="A247" s="253" t="str">
        <x:v>B</x:v>
      </x:c>
      <x:c r="B247" s="99" t="str">
        <x:v>16,2 м</x:v>
      </x:c>
      <x:c r="C247" s="100"/>
      <x:c r="D247" s="100"/>
      <x:c r="E247" s="100"/>
      <x:c r="F247" s="100"/>
      <x:c r="G247" s="100"/>
      <x:c r="H247" s="101"/>
    </x:row>
    <x:row r="248" ht="24" customHeight="1">
      <x:c r="A248" s="253" t="str">
        <x:v>C</x:v>
      </x:c>
      <x:c r="B248" s="99" t="str">
        <x:v>85,0 м</x:v>
      </x:c>
      <x:c r="C248" s="100"/>
      <x:c r="D248" s="100"/>
      <x:c r="E248" s="100"/>
      <x:c r="F248" s="100"/>
      <x:c r="G248" s="100"/>
      <x:c r="H248" s="101"/>
    </x:row>
    <x:row r="249" ht="8" customHeight="1"/>
    <x:row r="250" ht="28" customHeight="1">
      <x:c r="A250" s="258" t="str">
        <x:v>Ваш ответ:</x:v>
      </x:c>
      <x:c r="B250" s="259"/>
      <x:c r="C250" s="268"/>
      <x:c r="D250" s="269"/>
      <x:c r="E250" s="269"/>
      <x:c r="F250" s="269"/>
      <x:c r="G250" s="269"/>
      <x:c r="H250" s="270"/>
      <x:c r="Z250" t="n">
        <x:f>IF(C250="",0,IF(C250="B",1,0))</x:f>
        <x:v>0</x:v>
      </x:c>
      <x:c r="AA250" t="n">
        <x:f>IF(C250="",0,1)</x:f>
        <x:v>0</x:v>
      </x:c>
    </x:row>
    <x:row r="251" ht="8" customHeight="1"/>
    <x:row r="252" ht="30" customHeight="1">
      <x:c r="A252" s="343" t="str">
        <x:v>Комментарий:</x:v>
      </x:c>
      <x:c r="B252" s="344"/>
      <x:c r="C252" s="176" t="str">
        <x:f>IF(C250="","Выберите ответ.",IF(C250="A","Неверно. Указано другое нормативное значение или предел. Правильный вариант: B.",IF(C250="B","Верно. Указано нормативное значение или предел, приведённый в исходном тесте.",IF(C250="C","Неверно. Указано другое нормативное значение или предел. Правильный вариант: B.","Неверно. Ответ не распознан. Правильный вариант: B."))))</x:f>
        <x:v>Выберите ответ.</x:v>
      </x:c>
      <x:c r="D252" s="177"/>
      <x:c r="E252" s="177"/>
      <x:c r="F252" s="177"/>
      <x:c r="G252" s="177"/>
      <x:c r="H252" s="178"/>
    </x:row>
    <x:row r="253" ht="30" customHeight="1">
      <x:c r="A253" s="345"/>
      <x:c r="B253" s="346"/>
      <x:c r="C253" s="179"/>
      <x:c r="D253" s="180"/>
      <x:c r="E253" s="180"/>
      <x:c r="F253" s="180"/>
      <x:c r="G253" s="180"/>
      <x:c r="H253" s="181"/>
    </x:row>
    <x:row r="255" ht="24" customHeight="1">
      <x:c r="A255" s="228" t="str">
        <x:v>Вопрос 19 из 25</x:v>
      </x:c>
      <x:c r="B255" s="228"/>
      <x:c r="C255" s="228"/>
      <x:c r="D255" s="228"/>
      <x:c r="E255" s="228"/>
      <x:c r="F255" s="228"/>
      <x:c r="G255" s="228"/>
      <x:c r="H255" s="228"/>
    </x:row>
    <x:row r="256" ht="34" customHeight="1">
      <x:c r="A256" s="243" t="str">
        <x:v>В каком случае величина забойного давления является наибольшей?</x:v>
      </x:c>
      <x:c r="B256" s="244"/>
      <x:c r="C256" s="244"/>
      <x:c r="D256" s="244"/>
      <x:c r="E256" s="244"/>
      <x:c r="F256" s="244"/>
      <x:c r="G256" s="244"/>
      <x:c r="H256" s="245"/>
    </x:row>
    <x:row r="257" ht="34" customHeight="1">
      <x:c r="A257" s="246"/>
      <x:c r="B257" s="247"/>
      <x:c r="C257" s="247"/>
      <x:c r="D257" s="247"/>
      <x:c r="E257" s="247"/>
      <x:c r="F257" s="247"/>
      <x:c r="G257" s="247"/>
      <x:c r="H257" s="248"/>
    </x:row>
    <x:row r="258" ht="8" customHeight="1"/>
    <x:row r="259" ht="24" customHeight="1">
      <x:c r="A259" s="253" t="str">
        <x:v>A</x:v>
      </x:c>
      <x:c r="B259" s="99" t="str">
        <x:v>Плотность раствора ρ=1,2 г/см³, диаметр скважины Æ311,44 мм, глубина H=3048 м.</x:v>
      </x:c>
      <x:c r="C259" s="100"/>
      <x:c r="D259" s="100"/>
      <x:c r="E259" s="100"/>
      <x:c r="F259" s="100"/>
      <x:c r="G259" s="100"/>
      <x:c r="H259" s="101"/>
    </x:row>
    <x:row r="260" ht="24" customHeight="1">
      <x:c r="A260" s="253" t="str">
        <x:v>B</x:v>
      </x:c>
      <x:c r="B260" s="99" t="str">
        <x:v>Плотность раствора ρ=1,2 г/см³, диаметр скважины Æ215,98 мм, глубина H=3048 м.</x:v>
      </x:c>
      <x:c r="C260" s="100"/>
      <x:c r="D260" s="100"/>
      <x:c r="E260" s="100"/>
      <x:c r="F260" s="100"/>
      <x:c r="G260" s="100"/>
      <x:c r="H260" s="101"/>
    </x:row>
    <x:row r="261" ht="24" customHeight="1">
      <x:c r="A261" s="253" t="str">
        <x:v>C</x:v>
      </x:c>
      <x:c r="B261" s="99" t="str">
        <x:v>В обоих случаях величина забойного давления на глубине H=3048 м одинакова.</x:v>
      </x:c>
      <x:c r="C261" s="100"/>
      <x:c r="D261" s="100"/>
      <x:c r="E261" s="100"/>
      <x:c r="F261" s="100"/>
      <x:c r="G261" s="100"/>
      <x:c r="H261" s="101"/>
    </x:row>
    <x:row r="262" ht="24" customHeight="1">
      <x:c r="A262" s="253" t="str">
        <x:v>D</x:v>
      </x:c>
      <x:c r="B262" s="99" t="str">
        <x:v>Недостаточно данных для расчета, чтобы сделать вывод.</x:v>
      </x:c>
      <x:c r="C262" s="100"/>
      <x:c r="D262" s="100"/>
      <x:c r="E262" s="100"/>
      <x:c r="F262" s="100"/>
      <x:c r="G262" s="100"/>
      <x:c r="H262" s="101"/>
    </x:row>
    <x:row r="263" ht="8" customHeight="1"/>
    <x:row r="264" ht="28" customHeight="1">
      <x:c r="A264" s="258" t="str">
        <x:v>Ваш ответ:</x:v>
      </x:c>
      <x:c r="B264" s="259"/>
      <x:c r="C264" s="268"/>
      <x:c r="D264" s="269"/>
      <x:c r="E264" s="269"/>
      <x:c r="F264" s="269"/>
      <x:c r="G264" s="269"/>
      <x:c r="H264" s="270"/>
      <x:c r="Z264" t="n">
        <x:f>IF(C264="",0,IF(C264="C",1,0))</x:f>
        <x:v>0</x:v>
      </x:c>
      <x:c r="AA264" t="n">
        <x:f>IF(C264="",0,1)</x:f>
        <x:v>0</x:v>
      </x:c>
    </x:row>
    <x:row r="265" ht="8" customHeight="1"/>
    <x:row r="266" ht="30" customHeight="1">
      <x:c r="A266" s="343" t="str">
        <x:v>Комментарий:</x:v>
      </x:c>
      <x:c r="B266" s="344"/>
      <x:c r="C266" s="176" t="str">
        <x:f>IF(C264="","Выберите ответ.",IF(C264="A","Неверно. Этот вариант не соответствует ключу исходного теста. Правильный вариант: C.",IF(C264="B","Неверно. Этот вариант не соответствует ключу исходного теста. Правильный вариант: C.",IF(C264="C","Верно. Этот вариант соответствует ключу исходного теста.",IF(C264="D","Неверно.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266" s="177"/>
      <x:c r="E266" s="177"/>
      <x:c r="F266" s="177"/>
      <x:c r="G266" s="177"/>
      <x:c r="H266" s="178"/>
    </x:row>
    <x:row r="267" ht="30" customHeight="1">
      <x:c r="A267" s="345"/>
      <x:c r="B267" s="346"/>
      <x:c r="C267" s="179"/>
      <x:c r="D267" s="180"/>
      <x:c r="E267" s="180"/>
      <x:c r="F267" s="180"/>
      <x:c r="G267" s="180"/>
      <x:c r="H267" s="181"/>
    </x:row>
    <x:row r="269" ht="24" customHeight="1">
      <x:c r="A269" s="228" t="str">
        <x:v>Вопрос 20 из 25</x:v>
      </x:c>
      <x:c r="B269" s="228"/>
      <x:c r="C269" s="228"/>
      <x:c r="D269" s="228"/>
      <x:c r="E269" s="228"/>
      <x:c r="F269" s="228"/>
      <x:c r="G269" s="228"/>
      <x:c r="H269" s="228"/>
    </x:row>
    <x:row r="270" ht="34" customHeight="1">
      <x:c r="A270" s="243" t="str">
        <x:v>Пластовое давление на вертикальной глубине 1500 м составляет 155 атм. Какова при этом величина градиента давления?</x:v>
      </x:c>
      <x:c r="B270" s="244"/>
      <x:c r="C270" s="244"/>
      <x:c r="D270" s="244"/>
      <x:c r="E270" s="244"/>
      <x:c r="F270" s="244"/>
      <x:c r="G270" s="244"/>
      <x:c r="H270" s="245"/>
    </x:row>
    <x:row r="271" ht="34" customHeight="1">
      <x:c r="A271" s="246"/>
      <x:c r="B271" s="247"/>
      <x:c r="C271" s="247"/>
      <x:c r="D271" s="247"/>
      <x:c r="E271" s="247"/>
      <x:c r="F271" s="247"/>
      <x:c r="G271" s="247"/>
      <x:c r="H271" s="248"/>
    </x:row>
    <x:row r="272" ht="8" customHeight="1"/>
    <x:row r="273" ht="24" customHeight="1">
      <x:c r="A273" s="253" t="str">
        <x:v>A</x:v>
      </x:c>
      <x:c r="B273" s="99" t="str">
        <x:v>1,55 атм/м</x:v>
      </x:c>
      <x:c r="C273" s="100"/>
      <x:c r="D273" s="100"/>
      <x:c r="E273" s="100"/>
      <x:c r="F273" s="100"/>
      <x:c r="G273" s="100"/>
      <x:c r="H273" s="101"/>
    </x:row>
    <x:row r="274" ht="24" customHeight="1">
      <x:c r="A274" s="253" t="str">
        <x:v>B</x:v>
      </x:c>
      <x:c r="B274" s="99" t="str">
        <x:v>0,155 атм/м</x:v>
      </x:c>
      <x:c r="C274" s="100"/>
      <x:c r="D274" s="100"/>
      <x:c r="E274" s="100"/>
      <x:c r="F274" s="100"/>
      <x:c r="G274" s="100"/>
      <x:c r="H274" s="101"/>
    </x:row>
    <x:row r="275" ht="24" customHeight="1">
      <x:c r="A275" s="253" t="str">
        <x:v>C</x:v>
      </x:c>
      <x:c r="B275" s="99" t="str">
        <x:v>0,103 атм/м</x:v>
      </x:c>
      <x:c r="C275" s="100"/>
      <x:c r="D275" s="100"/>
      <x:c r="E275" s="100"/>
      <x:c r="F275" s="100"/>
      <x:c r="G275" s="100"/>
      <x:c r="H275" s="101"/>
    </x:row>
    <x:row r="276" ht="8" customHeight="1"/>
    <x:row r="277" ht="28" customHeight="1">
      <x:c r="A277" s="258" t="str">
        <x:v>Ваш ответ:</x:v>
      </x:c>
      <x:c r="B277" s="259"/>
      <x:c r="C277" s="268"/>
      <x:c r="D277" s="269"/>
      <x:c r="E277" s="269"/>
      <x:c r="F277" s="269"/>
      <x:c r="G277" s="269"/>
      <x:c r="H277" s="270"/>
      <x:c r="Z277" t="n">
        <x:f>IF(C277="",0,IF(C277="C",1,0))</x:f>
        <x:v>0</x:v>
      </x:c>
      <x:c r="AA277" t="n">
        <x:f>IF(C277="",0,1)</x:f>
        <x:v>0</x:v>
      </x:c>
    </x:row>
    <x:row r="278" ht="8" customHeight="1"/>
    <x:row r="279" ht="30" customHeight="1">
      <x:c r="A279" s="343" t="str">
        <x:v>Комментарий:</x:v>
      </x:c>
      <x:c r="B279" s="344"/>
      <x:c r="C279" s="176" t="str">
        <x:f>IF(C277="","Выберите ответ.",IF(C277="A","Неверно. Числовой результат не соответствует расчёту исходного теста. Правильный вариант: C.",IF(C277="B","Неверно. Числовой результат не соответствует расчёту исходного теста. Правильный вариант: C.",IF(C277="C","Верно. Это значение соответствует расчёту, заложенному в исходном тесте.","Неверно. Ответ не распознан. Правильный вариант: C."))))</x:f>
        <x:v>Выберите ответ.</x:v>
      </x:c>
      <x:c r="D279" s="177"/>
      <x:c r="E279" s="177"/>
      <x:c r="F279" s="177"/>
      <x:c r="G279" s="177"/>
      <x:c r="H279" s="178"/>
    </x:row>
    <x:row r="280" ht="30" customHeight="1">
      <x:c r="A280" s="345"/>
      <x:c r="B280" s="346"/>
      <x:c r="C280" s="179"/>
      <x:c r="D280" s="180"/>
      <x:c r="E280" s="180"/>
      <x:c r="F280" s="180"/>
      <x:c r="G280" s="180"/>
      <x:c r="H280" s="181"/>
    </x:row>
    <x:row r="282" ht="24" customHeight="1">
      <x:c r="A282" s="228" t="str">
        <x:v>Вопрос 21 из 25</x:v>
      </x:c>
      <x:c r="B282" s="228"/>
      <x:c r="C282" s="228"/>
      <x:c r="D282" s="228"/>
      <x:c r="E282" s="228"/>
      <x:c r="F282" s="228"/>
      <x:c r="G282" s="228"/>
      <x:c r="H282" s="228"/>
    </x:row>
    <x:row r="283" ht="34" customHeight="1">
      <x:c r="A283" s="243" t="str">
        <x:v>Преобразуйте плотность бурового раствора ρ = 1,55 г/см³ в градиент давления:</x:v>
      </x:c>
      <x:c r="B283" s="244"/>
      <x:c r="C283" s="244"/>
      <x:c r="D283" s="244"/>
      <x:c r="E283" s="244"/>
      <x:c r="F283" s="244"/>
      <x:c r="G283" s="244"/>
      <x:c r="H283" s="245"/>
    </x:row>
    <x:row r="284" ht="34" customHeight="1">
      <x:c r="A284" s="246"/>
      <x:c r="B284" s="247"/>
      <x:c r="C284" s="247"/>
      <x:c r="D284" s="247"/>
      <x:c r="E284" s="247"/>
      <x:c r="F284" s="247"/>
      <x:c r="G284" s="247"/>
      <x:c r="H284" s="248"/>
    </x:row>
    <x:row r="285" ht="8" customHeight="1"/>
    <x:row r="286" ht="24" customHeight="1">
      <x:c r="A286" s="253" t="str">
        <x:v>A</x:v>
      </x:c>
      <x:c r="B286" s="99" t="str">
        <x:v>0,114 атм/м</x:v>
      </x:c>
      <x:c r="C286" s="100"/>
      <x:c r="D286" s="100"/>
      <x:c r="E286" s="100"/>
      <x:c r="F286" s="100"/>
      <x:c r="G286" s="100"/>
      <x:c r="H286" s="101"/>
    </x:row>
    <x:row r="287" ht="24" customHeight="1">
      <x:c r="A287" s="253" t="str">
        <x:v>B</x:v>
      </x:c>
      <x:c r="B287" s="99" t="str">
        <x:v>0,216 атм/м</x:v>
      </x:c>
      <x:c r="C287" s="100"/>
      <x:c r="D287" s="100"/>
      <x:c r="E287" s="100"/>
      <x:c r="F287" s="100"/>
      <x:c r="G287" s="100"/>
      <x:c r="H287" s="101"/>
    </x:row>
    <x:row r="288" ht="24" customHeight="1">
      <x:c r="A288" s="253" t="str">
        <x:v>C</x:v>
      </x:c>
      <x:c r="B288" s="99" t="str">
        <x:v>0,150 атм/м</x:v>
      </x:c>
      <x:c r="C288" s="100"/>
      <x:c r="D288" s="100"/>
      <x:c r="E288" s="100"/>
      <x:c r="F288" s="100"/>
      <x:c r="G288" s="100"/>
      <x:c r="H288" s="101"/>
    </x:row>
    <x:row r="289" ht="8" customHeight="1"/>
    <x:row r="290" ht="28" customHeight="1">
      <x:c r="A290" s="258" t="str">
        <x:v>Ваш ответ:</x:v>
      </x:c>
      <x:c r="B290" s="259"/>
      <x:c r="C290" s="268"/>
      <x:c r="D290" s="269"/>
      <x:c r="E290" s="269"/>
      <x:c r="F290" s="269"/>
      <x:c r="G290" s="269"/>
      <x:c r="H290" s="270"/>
      <x:c r="Z290" t="n">
        <x:f>IF(C290="",0,IF(C290="C",1,0))</x:f>
        <x:v>0</x:v>
      </x:c>
      <x:c r="AA290" t="n">
        <x:f>IF(C290="",0,1)</x:f>
        <x:v>0</x:v>
      </x:c>
    </x:row>
    <x:row r="291" ht="8" customHeight="1"/>
    <x:row r="292" ht="30" customHeight="1">
      <x:c r="A292" s="343" t="str">
        <x:v>Комментарий:</x:v>
      </x:c>
      <x:c r="B292" s="344"/>
      <x:c r="C292" s="176" t="str">
        <x:f>IF(C290="","Выберите ответ.",IF(C290="A","Неверно. Числовой результат не соответствует расчёту исходного теста. Правильный вариант: C.",IF(C290="B","Неверно. Числовой результат не соответствует расчёту исходного теста. Правильный вариант: C.",IF(C290="C","Верно. Это значение соответствует расчёту, заложенному в исходном тесте.","Неверно. Ответ не распознан. Правильный вариант: C."))))</x:f>
        <x:v>Выберите ответ.</x:v>
      </x:c>
      <x:c r="D292" s="177"/>
      <x:c r="E292" s="177"/>
      <x:c r="F292" s="177"/>
      <x:c r="G292" s="177"/>
      <x:c r="H292" s="178"/>
    </x:row>
    <x:row r="293" ht="30" customHeight="1">
      <x:c r="A293" s="345"/>
      <x:c r="B293" s="346"/>
      <x:c r="C293" s="179"/>
      <x:c r="D293" s="180"/>
      <x:c r="E293" s="180"/>
      <x:c r="F293" s="180"/>
      <x:c r="G293" s="180"/>
      <x:c r="H293" s="181"/>
    </x:row>
    <x:row r="295" ht="24" customHeight="1">
      <x:c r="A295" s="228" t="str">
        <x:v>Вопрос 22 из 25</x:v>
      </x:c>
      <x:c r="B295" s="228"/>
      <x:c r="C295" s="228"/>
      <x:c r="D295" s="228"/>
      <x:c r="E295" s="228"/>
      <x:c r="F295" s="228"/>
      <x:c r="G295" s="228"/>
      <x:c r="H295" s="228"/>
    </x:row>
    <x:row r="296" ht="34" customHeight="1">
      <x:c r="A296" s="243" t="str">
        <x:v>Преобразуйте градиент пластового давления Gпл = 0,155 атм/м в плотность бурового раствора:</x:v>
      </x:c>
      <x:c r="B296" s="244"/>
      <x:c r="C296" s="244"/>
      <x:c r="D296" s="244"/>
      <x:c r="E296" s="244"/>
      <x:c r="F296" s="244"/>
      <x:c r="G296" s="244"/>
      <x:c r="H296" s="245"/>
    </x:row>
    <x:row r="297" ht="34" customHeight="1">
      <x:c r="A297" s="246"/>
      <x:c r="B297" s="247"/>
      <x:c r="C297" s="247"/>
      <x:c r="D297" s="247"/>
      <x:c r="E297" s="247"/>
      <x:c r="F297" s="247"/>
      <x:c r="G297" s="247"/>
      <x:c r="H297" s="248"/>
    </x:row>
    <x:row r="298" ht="8" customHeight="1"/>
    <x:row r="299" ht="24" customHeight="1">
      <x:c r="A299" s="253" t="str">
        <x:v>A</x:v>
      </x:c>
      <x:c r="B299" s="99" t="str">
        <x:v>1,580 г/см³</x:v>
      </x:c>
      <x:c r="C299" s="100"/>
      <x:c r="D299" s="100"/>
      <x:c r="E299" s="100"/>
      <x:c r="F299" s="100"/>
      <x:c r="G299" s="100"/>
      <x:c r="H299" s="101"/>
    </x:row>
    <x:row r="300" ht="24" customHeight="1">
      <x:c r="A300" s="253" t="str">
        <x:v>B</x:v>
      </x:c>
      <x:c r="B300" s="99" t="str">
        <x:v>1,601 г/см³</x:v>
      </x:c>
      <x:c r="C300" s="100"/>
      <x:c r="D300" s="100"/>
      <x:c r="E300" s="100"/>
      <x:c r="F300" s="100"/>
      <x:c r="G300" s="100"/>
      <x:c r="H300" s="101"/>
    </x:row>
    <x:row r="301" ht="24" customHeight="1">
      <x:c r="A301" s="253" t="str">
        <x:v>C</x:v>
      </x:c>
      <x:c r="B301" s="99" t="str">
        <x:v>1,747 г/см³</x:v>
      </x:c>
      <x:c r="C301" s="100"/>
      <x:c r="D301" s="100"/>
      <x:c r="E301" s="100"/>
      <x:c r="F301" s="100"/>
      <x:c r="G301" s="100"/>
      <x:c r="H301" s="101"/>
    </x:row>
    <x:row r="302" ht="8" customHeight="1"/>
    <x:row r="303" ht="28" customHeight="1">
      <x:c r="A303" s="258" t="str">
        <x:v>Ваш ответ:</x:v>
      </x:c>
      <x:c r="B303" s="259"/>
      <x:c r="C303" s="268"/>
      <x:c r="D303" s="269"/>
      <x:c r="E303" s="269"/>
      <x:c r="F303" s="269"/>
      <x:c r="G303" s="269"/>
      <x:c r="H303" s="270"/>
      <x:c r="Z303" t="n">
        <x:f>IF(C303="",0,IF(C303="B",1,0))</x:f>
        <x:v>0</x:v>
      </x:c>
      <x:c r="AA303" t="n">
        <x:f>IF(C303="",0,1)</x:f>
        <x:v>0</x:v>
      </x:c>
    </x:row>
    <x:row r="304" ht="8" customHeight="1"/>
    <x:row r="305" ht="30" customHeight="1">
      <x:c r="A305" s="343" t="str">
        <x:v>Комментарий:</x:v>
      </x:c>
      <x:c r="B305" s="344"/>
      <x:c r="C305" s="176" t="str">
        <x:f>IF(C303="","Выберите ответ.",IF(C303="A","Неверно. Числовой результат не соответствует расчёту исходного теста. Правильный вариант: B.",IF(C303="B","Верно. Это значение соответствует расчёту, заложенному в исходном тесте.",IF(C303="C","Неверно. Числовой результат не соответствует расчёту исходного теста. Правильный вариант: B.","Неверно. Ответ не распознан. Правильный вариант: B."))))</x:f>
        <x:v>Выберите ответ.</x:v>
      </x:c>
      <x:c r="D305" s="177"/>
      <x:c r="E305" s="177"/>
      <x:c r="F305" s="177"/>
      <x:c r="G305" s="177"/>
      <x:c r="H305" s="178"/>
    </x:row>
    <x:row r="306" ht="30" customHeight="1">
      <x:c r="A306" s="345"/>
      <x:c r="B306" s="346"/>
      <x:c r="C306" s="179"/>
      <x:c r="D306" s="180"/>
      <x:c r="E306" s="180"/>
      <x:c r="F306" s="180"/>
      <x:c r="G306" s="180"/>
      <x:c r="H306" s="181"/>
    </x:row>
    <x:row r="308" ht="24" customHeight="1">
      <x:c r="A308" s="228" t="str">
        <x:v>Вопрос 23 из 25</x:v>
      </x:c>
      <x:c r="B308" s="228"/>
      <x:c r="C308" s="228"/>
      <x:c r="D308" s="228"/>
      <x:c r="E308" s="228"/>
      <x:c r="F308" s="228"/>
      <x:c r="G308" s="228"/>
      <x:c r="H308" s="228"/>
    </x:row>
    <x:row r="309" ht="48" customHeight="1">
      <x:c r="A309" s="243" t="str">
        <x:v>Давление на глубине 1000 метров составляет 11 МПа. Градиент пластового давления в интервале 1000–1300 м составляет 0,143 атм/м. Рассчитайте пластовое давление на глубине 1280 метров.</x:v>
      </x:c>
      <x:c r="B309" s="244"/>
      <x:c r="C309" s="244"/>
      <x:c r="D309" s="244"/>
      <x:c r="E309" s="244"/>
      <x:c r="F309" s="244"/>
      <x:c r="G309" s="244"/>
      <x:c r="H309" s="245"/>
    </x:row>
    <x:row r="310" ht="48" customHeight="1">
      <x:c r="A310" s="246"/>
      <x:c r="B310" s="247"/>
      <x:c r="C310" s="247"/>
      <x:c r="D310" s="247"/>
      <x:c r="E310" s="247"/>
      <x:c r="F310" s="247"/>
      <x:c r="G310" s="247"/>
      <x:c r="H310" s="248"/>
    </x:row>
    <x:row r="311" ht="8" customHeight="1"/>
    <x:row r="312" ht="24" customHeight="1">
      <x:c r="A312" s="253" t="str">
        <x:v>A</x:v>
      </x:c>
      <x:c r="B312" s="99" t="str">
        <x:v>14,6 МПа</x:v>
      </x:c>
      <x:c r="C312" s="100"/>
      <x:c r="D312" s="100"/>
      <x:c r="E312" s="100"/>
      <x:c r="F312" s="100"/>
      <x:c r="G312" s="100"/>
      <x:c r="H312" s="101"/>
    </x:row>
    <x:row r="313" ht="24" customHeight="1">
      <x:c r="A313" s="253" t="str">
        <x:v>B</x:v>
      </x:c>
      <x:c r="B313" s="99" t="str">
        <x:v>15 МПа</x:v>
      </x:c>
      <x:c r="C313" s="100"/>
      <x:c r="D313" s="100"/>
      <x:c r="E313" s="100"/>
      <x:c r="F313" s="100"/>
      <x:c r="G313" s="100"/>
      <x:c r="H313" s="101"/>
    </x:row>
    <x:row r="314" ht="24" customHeight="1">
      <x:c r="A314" s="253" t="str">
        <x:v>C</x:v>
      </x:c>
      <x:c r="B314" s="99" t="str">
        <x:v>14,8 МПа</x:v>
      </x:c>
      <x:c r="C314" s="100"/>
      <x:c r="D314" s="100"/>
      <x:c r="E314" s="100"/>
      <x:c r="F314" s="100"/>
      <x:c r="G314" s="100"/>
      <x:c r="H314" s="101"/>
    </x:row>
    <x:row r="315" ht="8" customHeight="1"/>
    <x:row r="316" ht="28" customHeight="1">
      <x:c r="A316" s="258" t="str">
        <x:v>Ваш ответ:</x:v>
      </x:c>
      <x:c r="B316" s="259"/>
      <x:c r="C316" s="268"/>
      <x:c r="D316" s="269"/>
      <x:c r="E316" s="269"/>
      <x:c r="F316" s="269"/>
      <x:c r="G316" s="269"/>
      <x:c r="H316" s="270"/>
      <x:c r="Z316" t="n">
        <x:f>IF(C316="",0,IF(C316="B",1,0))</x:f>
        <x:v>0</x:v>
      </x:c>
      <x:c r="AA316" t="n">
        <x:f>IF(C316="",0,1)</x:f>
        <x:v>0</x:v>
      </x:c>
    </x:row>
    <x:row r="317" ht="8" customHeight="1"/>
    <x:row r="318" ht="30" customHeight="1">
      <x:c r="A318" s="343" t="str">
        <x:v>Комментарий:</x:v>
      </x:c>
      <x:c r="B318" s="344"/>
      <x:c r="C318" s="176" t="str">
        <x:f>IF(C316="","Выберите ответ.",IF(C316="A","Неверно. Числовой результат не соответствует расчёту исходного теста. Правильный вариант: B.",IF(C316="B","Верно. Это значение соответствует расчёту, заложенному в исходном тесте.",IF(C316="C","Неверно. Числовой результат не соответствует расчёту исходного теста. Правильный вариант: B.","Неверно. Ответ не распознан. Правильный вариант: B."))))</x:f>
        <x:v>Выберите ответ.</x:v>
      </x:c>
      <x:c r="D318" s="177"/>
      <x:c r="E318" s="177"/>
      <x:c r="F318" s="177"/>
      <x:c r="G318" s="177"/>
      <x:c r="H318" s="178"/>
    </x:row>
    <x:row r="319" ht="30" customHeight="1">
      <x:c r="A319" s="345"/>
      <x:c r="B319" s="346"/>
      <x:c r="C319" s="179"/>
      <x:c r="D319" s="180"/>
      <x:c r="E319" s="180"/>
      <x:c r="F319" s="180"/>
      <x:c r="G319" s="180"/>
      <x:c r="H319" s="181"/>
    </x:row>
    <x:row r="321" ht="24" customHeight="1">
      <x:c r="A321" s="228" t="str">
        <x:v>Вопрос 24 из 25</x:v>
      </x:c>
      <x:c r="B321" s="228"/>
      <x:c r="C321" s="228"/>
      <x:c r="D321" s="228"/>
      <x:c r="E321" s="228"/>
      <x:c r="F321" s="228"/>
      <x:c r="G321" s="228"/>
      <x:c r="H321" s="228"/>
    </x:row>
    <x:row r="322" ht="48" customHeight="1">
      <x:c r="A322" s="243" t="str">
        <x:v>Бурение скважины ведётся на глубине H = 3627 м, градиент бурового раствора Gбр = 0,155 атм/м, потери давления в затрубном пространстве ΔРзатр = 15,4 атм. Чему равно забойное давление при циркуляции?</x:v>
      </x:c>
      <x:c r="B322" s="244"/>
      <x:c r="C322" s="244"/>
      <x:c r="D322" s="244"/>
      <x:c r="E322" s="244"/>
      <x:c r="F322" s="244"/>
      <x:c r="G322" s="244"/>
      <x:c r="H322" s="245"/>
    </x:row>
    <x:row r="323" ht="48" customHeight="1">
      <x:c r="A323" s="246"/>
      <x:c r="B323" s="247"/>
      <x:c r="C323" s="247"/>
      <x:c r="D323" s="247"/>
      <x:c r="E323" s="247"/>
      <x:c r="F323" s="247"/>
      <x:c r="G323" s="247"/>
      <x:c r="H323" s="248"/>
    </x:row>
    <x:row r="324" ht="8" customHeight="1"/>
    <x:row r="325" ht="24" customHeight="1">
      <x:c r="A325" s="253" t="str">
        <x:v>A</x:v>
      </x:c>
      <x:c r="B325" s="99" t="str">
        <x:v>563,4 атм</x:v>
      </x:c>
      <x:c r="C325" s="100"/>
      <x:c r="D325" s="100"/>
      <x:c r="E325" s="100"/>
      <x:c r="F325" s="100"/>
      <x:c r="G325" s="100"/>
      <x:c r="H325" s="101"/>
    </x:row>
    <x:row r="326" ht="24" customHeight="1">
      <x:c r="A326" s="253" t="str">
        <x:v>B</x:v>
      </x:c>
      <x:c r="B326" s="99" t="str">
        <x:v>547,7 атм</x:v>
      </x:c>
      <x:c r="C326" s="100"/>
      <x:c r="D326" s="100"/>
      <x:c r="E326" s="100"/>
      <x:c r="F326" s="100"/>
      <x:c r="G326" s="100"/>
      <x:c r="H326" s="101"/>
    </x:row>
    <x:row r="327" ht="24" customHeight="1">
      <x:c r="A327" s="253" t="str">
        <x:v>C</x:v>
      </x:c>
      <x:c r="B327" s="99" t="str">
        <x:v>577,6 атм</x:v>
      </x:c>
      <x:c r="C327" s="100"/>
      <x:c r="D327" s="100"/>
      <x:c r="E327" s="100"/>
      <x:c r="F327" s="100"/>
      <x:c r="G327" s="100"/>
      <x:c r="H327" s="101"/>
    </x:row>
    <x:row r="328" ht="24" customHeight="1">
      <x:c r="A328" s="253" t="str">
        <x:v>D</x:v>
      </x:c>
      <x:c r="B328" s="99" t="str">
        <x:v>588,2 атм</x:v>
      </x:c>
      <x:c r="C328" s="100"/>
      <x:c r="D328" s="100"/>
      <x:c r="E328" s="100"/>
      <x:c r="F328" s="100"/>
      <x:c r="G328" s="100"/>
      <x:c r="H328" s="101"/>
    </x:row>
    <x:row r="329" ht="8" customHeight="1"/>
    <x:row r="330" ht="28" customHeight="1">
      <x:c r="A330" s="258" t="str">
        <x:v>Ваш ответ:</x:v>
      </x:c>
      <x:c r="B330" s="259"/>
      <x:c r="C330" s="268"/>
      <x:c r="D330" s="269"/>
      <x:c r="E330" s="269"/>
      <x:c r="F330" s="269"/>
      <x:c r="G330" s="269"/>
      <x:c r="H330" s="270"/>
      <x:c r="Z330" t="n">
        <x:f>IF(C330="",0,IF(C330="C",1,0))</x:f>
        <x:v>0</x:v>
      </x:c>
      <x:c r="AA330" t="n">
        <x:f>IF(C330="",0,1)</x:f>
        <x:v>0</x:v>
      </x:c>
    </x:row>
    <x:row r="331" ht="8" customHeight="1"/>
    <x:row r="332" ht="30" customHeight="1">
      <x:c r="A332" s="343" t="str">
        <x:v>Комментарий:</x:v>
      </x:c>
      <x:c r="B332" s="344"/>
      <x:c r="C332" s="176" t="str">
        <x:f>IF(C330="","Выберите ответ.",IF(C330="A","Неверно. Этот вариант не соответствует ключу исходного теста. Правильный вариант: C.",IF(C330="B","Неверно. Этот вариант не соответствует ключу исходного теста. Правильный вариант: C.",IF(C330="C","Верно. Этот вариант соответствует ключу исходного теста.",IF(C330="D","Неверно.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332" s="177"/>
      <x:c r="E332" s="177"/>
      <x:c r="F332" s="177"/>
      <x:c r="G332" s="177"/>
      <x:c r="H332" s="178"/>
    </x:row>
    <x:row r="333" ht="30" customHeight="1">
      <x:c r="A333" s="345"/>
      <x:c r="B333" s="346"/>
      <x:c r="C333" s="179"/>
      <x:c r="D333" s="180"/>
      <x:c r="E333" s="180"/>
      <x:c r="F333" s="180"/>
      <x:c r="G333" s="180"/>
      <x:c r="H333" s="181"/>
    </x:row>
    <x:row r="335" ht="24" customHeight="1">
      <x:c r="A335" s="228" t="str">
        <x:v>Вопрос 25 из 25</x:v>
      </x:c>
      <x:c r="B335" s="228"/>
      <x:c r="C335" s="228"/>
      <x:c r="D335" s="228"/>
      <x:c r="E335" s="228"/>
      <x:c r="F335" s="228"/>
      <x:c r="G335" s="228"/>
      <x:c r="H335" s="228"/>
    </x:row>
    <x:row r="336" ht="48" customHeight="1">
      <x:c r="A336" s="243" t="str">
        <x:v>На какую величину в интервалах совместимых условий бурения давление гидростатического столба бурового раствора должно превышать пластовое давление при бурении скважин глубиной до 1200 м?</x:v>
      </x:c>
      <x:c r="B336" s="244"/>
      <x:c r="C336" s="244"/>
      <x:c r="D336" s="244"/>
      <x:c r="E336" s="244"/>
      <x:c r="F336" s="244"/>
      <x:c r="G336" s="244"/>
      <x:c r="H336" s="245"/>
    </x:row>
    <x:row r="337" ht="48" customHeight="1">
      <x:c r="A337" s="246"/>
      <x:c r="B337" s="247"/>
      <x:c r="C337" s="247"/>
      <x:c r="D337" s="247"/>
      <x:c r="E337" s="247"/>
      <x:c r="F337" s="247"/>
      <x:c r="G337" s="247"/>
      <x:c r="H337" s="248"/>
    </x:row>
    <x:row r="338" ht="8" customHeight="1"/>
    <x:row r="339" ht="24" customHeight="1">
      <x:c r="A339" s="253" t="str">
        <x:v>A</x:v>
      </x:c>
      <x:c r="B339" s="99" t="str">
        <x:v>10–15 %, но не более 15 кгс/см² (1,5 МПа).</x:v>
      </x:c>
      <x:c r="C339" s="100"/>
      <x:c r="D339" s="100"/>
      <x:c r="E339" s="100"/>
      <x:c r="F339" s="100"/>
      <x:c r="G339" s="100"/>
      <x:c r="H339" s="101"/>
    </x:row>
    <x:row r="340" ht="24" customHeight="1">
      <x:c r="A340" s="253" t="str">
        <x:v>B</x:v>
      </x:c>
      <x:c r="B340" s="99" t="str">
        <x:v>5–10 %, но не более 25 кгс/см² (2,5 МПа).</x:v>
      </x:c>
      <x:c r="C340" s="100"/>
      <x:c r="D340" s="100"/>
      <x:c r="E340" s="100"/>
      <x:c r="F340" s="100"/>
      <x:c r="G340" s="100"/>
      <x:c r="H340" s="101"/>
    </x:row>
    <x:row r="341" ht="24" customHeight="1">
      <x:c r="A341" s="253" t="str">
        <x:v>C</x:v>
      </x:c>
      <x:c r="B341" s="99" t="str">
        <x:v>4–7 %, но не более 35 кгс/см² (3,5 МПа).</x:v>
      </x:c>
      <x:c r="C341" s="100"/>
      <x:c r="D341" s="100"/>
      <x:c r="E341" s="100"/>
      <x:c r="F341" s="100"/>
      <x:c r="G341" s="100"/>
      <x:c r="H341" s="101"/>
    </x:row>
    <x:row r="342" ht="8" customHeight="1"/>
    <x:row r="343" ht="28" customHeight="1">
      <x:c r="A343" s="258" t="str">
        <x:v>Ваш ответ:</x:v>
      </x:c>
      <x:c r="B343" s="259"/>
      <x:c r="C343" s="268"/>
      <x:c r="D343" s="269"/>
      <x:c r="E343" s="269"/>
      <x:c r="F343" s="269"/>
      <x:c r="G343" s="269"/>
      <x:c r="H343" s="270"/>
      <x:c r="Z343" t="n">
        <x:f>IF(C343="",0,IF(C343="A",1,0))</x:f>
        <x:v>0</x:v>
      </x:c>
      <x:c r="AA343" t="n">
        <x:f>IF(C343="",0,1)</x:f>
        <x:v>0</x:v>
      </x:c>
    </x:row>
    <x:row r="344" ht="8" customHeight="1"/>
    <x:row r="345" ht="30" customHeight="1">
      <x:c r="A345" s="343" t="str">
        <x:v>Комментарий:</x:v>
      </x:c>
      <x:c r="B345" s="344"/>
      <x:c r="C345" s="176" t="str">
        <x:f>IF(C343="","Выберите ответ.",IF(C343="A","Верно. Это значение соответствует расчёту, заложенному в исходном тесте.",IF(C343="B","Неверно. Числовой результат не соответствует расчёту исходного теста. Правильный вариант: A.",IF(C343="C","Неверно. Числовой результат не соответствует расчёту исходного теста. Правильный вариант: A.","Неверно. Ответ не распознан. Правильный вариант: A."))))</x:f>
        <x:v>Выберите ответ.</x:v>
      </x:c>
      <x:c r="D345" s="177"/>
      <x:c r="E345" s="177"/>
      <x:c r="F345" s="177"/>
      <x:c r="G345" s="177"/>
      <x:c r="H345" s="178"/>
    </x:row>
    <x:row r="346" ht="30" customHeight="1">
      <x:c r="A346" s="345"/>
      <x:c r="B346" s="346"/>
      <x:c r="C346" s="179"/>
      <x:c r="D346" s="180"/>
      <x:c r="E346" s="180"/>
      <x:c r="F346" s="180"/>
      <x:c r="G346" s="180"/>
      <x:c r="H346" s="181"/>
    </x:row>
    <x:row r="348" ht="10" customHeight="1"/>
  </x:sheetData>
  <x:mergeCells>
    <x:mergeCell ref="A1:H1"/>
    <x:mergeCell ref="A2:H2"/>
    <x:mergeCell ref="A3:B3"/>
    <x:mergeCell ref="D3:E3"/>
    <x:mergeCell ref="A5:H5"/>
    <x:mergeCell ref="A6:H7"/>
    <x:mergeCell ref="B9:H9"/>
    <x:mergeCell ref="B10:H10"/>
    <x:mergeCell ref="B11:H11"/>
    <x:mergeCell ref="A13:B13"/>
    <x:mergeCell ref="C13:H13"/>
    <x:mergeCell ref="A15:B16"/>
    <x:mergeCell ref="C15:H16"/>
    <x:mergeCell ref="A18:H18"/>
    <x:mergeCell ref="A19:H20"/>
    <x:mergeCell ref="B22:H22"/>
    <x:mergeCell ref="B23:H23"/>
    <x:mergeCell ref="B24:H24"/>
    <x:mergeCell ref="A26:B26"/>
    <x:mergeCell ref="C26:H26"/>
    <x:mergeCell ref="A28:B29"/>
    <x:mergeCell ref="C28:H29"/>
    <x:mergeCell ref="A31:H31"/>
    <x:mergeCell ref="A32:H33"/>
    <x:mergeCell ref="B35:H35"/>
    <x:mergeCell ref="B36:H36"/>
    <x:mergeCell ref="B37:H37"/>
    <x:mergeCell ref="B38:H38"/>
    <x:mergeCell ref="B39:H39"/>
    <x:mergeCell ref="A41:B41"/>
    <x:mergeCell ref="C41:H41"/>
    <x:mergeCell ref="A43:B44"/>
    <x:mergeCell ref="C43:H44"/>
    <x:mergeCell ref="A46:H46"/>
    <x:mergeCell ref="A47:H48"/>
    <x:mergeCell ref="B50:H50"/>
    <x:mergeCell ref="B51:H51"/>
    <x:mergeCell ref="B52:H52"/>
    <x:mergeCell ref="B53:H53"/>
    <x:mergeCell ref="B54:H54"/>
    <x:mergeCell ref="A56:B56"/>
    <x:mergeCell ref="C56:H56"/>
    <x:mergeCell ref="A58:B59"/>
    <x:mergeCell ref="C58:H59"/>
    <x:mergeCell ref="A61:H61"/>
    <x:mergeCell ref="A62:H63"/>
    <x:mergeCell ref="B65:H65"/>
    <x:mergeCell ref="B66:H66"/>
    <x:mergeCell ref="B67:H67"/>
    <x:mergeCell ref="B68:H68"/>
    <x:mergeCell ref="B69:H69"/>
    <x:mergeCell ref="A71:B71"/>
    <x:mergeCell ref="C71:H71"/>
    <x:mergeCell ref="A73:B74"/>
    <x:mergeCell ref="C73:H74"/>
    <x:mergeCell ref="A76:H76"/>
    <x:mergeCell ref="A77:H78"/>
    <x:mergeCell ref="B80:H80"/>
    <x:mergeCell ref="B81:H81"/>
    <x:mergeCell ref="B82:H82"/>
    <x:mergeCell ref="B83:H83"/>
    <x:mergeCell ref="B84:H84"/>
    <x:mergeCell ref="A86:B86"/>
    <x:mergeCell ref="C86:H86"/>
    <x:mergeCell ref="A88:B89"/>
    <x:mergeCell ref="C88:H89"/>
    <x:mergeCell ref="A91:H91"/>
    <x:mergeCell ref="A92:H93"/>
    <x:mergeCell ref="B95:H95"/>
    <x:mergeCell ref="B96:H96"/>
    <x:mergeCell ref="B97:H97"/>
    <x:mergeCell ref="B98:H98"/>
    <x:mergeCell ref="B99:H99"/>
    <x:mergeCell ref="A101:B101"/>
    <x:mergeCell ref="C101:H101"/>
    <x:mergeCell ref="A103:B104"/>
    <x:mergeCell ref="C103:H104"/>
    <x:mergeCell ref="A106:H106"/>
    <x:mergeCell ref="A107:H108"/>
    <x:mergeCell ref="B110:H110"/>
    <x:mergeCell ref="B111:H111"/>
    <x:mergeCell ref="B112:H112"/>
    <x:mergeCell ref="B113:H113"/>
    <x:mergeCell ref="B114:H114"/>
    <x:mergeCell ref="A116:B116"/>
    <x:mergeCell ref="C116:H116"/>
    <x:mergeCell ref="A118:B119"/>
    <x:mergeCell ref="C118:H119"/>
    <x:mergeCell ref="A121:H121"/>
    <x:mergeCell ref="A122:H123"/>
    <x:mergeCell ref="B125:H125"/>
    <x:mergeCell ref="B126:H126"/>
    <x:mergeCell ref="B127:H127"/>
    <x:mergeCell ref="B128:H128"/>
    <x:mergeCell ref="B129:H129"/>
    <x:mergeCell ref="A131:B131"/>
    <x:mergeCell ref="C131:H131"/>
    <x:mergeCell ref="A133:B134"/>
    <x:mergeCell ref="C133:H134"/>
    <x:mergeCell ref="A136:H136"/>
    <x:mergeCell ref="A137:H138"/>
    <x:mergeCell ref="B140:H140"/>
    <x:mergeCell ref="B141:H141"/>
    <x:mergeCell ref="B142:H142"/>
    <x:mergeCell ref="B143:H143"/>
    <x:mergeCell ref="B144:H144"/>
    <x:mergeCell ref="A146:B146"/>
    <x:mergeCell ref="C146:H146"/>
    <x:mergeCell ref="A148:B149"/>
    <x:mergeCell ref="C148:H149"/>
    <x:mergeCell ref="A151:H151"/>
    <x:mergeCell ref="A152:H153"/>
    <x:mergeCell ref="B155:H155"/>
    <x:mergeCell ref="B156:H156"/>
    <x:mergeCell ref="B157:H157"/>
    <x:mergeCell ref="B158:H158"/>
    <x:mergeCell ref="A160:B160"/>
    <x:mergeCell ref="C160:H160"/>
    <x:mergeCell ref="A162:B163"/>
    <x:mergeCell ref="C162:H163"/>
    <x:mergeCell ref="A165:H165"/>
    <x:mergeCell ref="A166:H167"/>
    <x:mergeCell ref="B169:H169"/>
    <x:mergeCell ref="B170:H170"/>
    <x:mergeCell ref="B171:H171"/>
    <x:mergeCell ref="A173:B173"/>
    <x:mergeCell ref="C173:H173"/>
    <x:mergeCell ref="A175:B176"/>
    <x:mergeCell ref="C175:H176"/>
    <x:mergeCell ref="A178:H178"/>
    <x:mergeCell ref="A179:H180"/>
    <x:mergeCell ref="B182:H182"/>
    <x:mergeCell ref="B183:H183"/>
    <x:mergeCell ref="B184:H184"/>
    <x:mergeCell ref="A186:B186"/>
    <x:mergeCell ref="C186:H186"/>
    <x:mergeCell ref="A188:B189"/>
    <x:mergeCell ref="C188:H189"/>
    <x:mergeCell ref="A191:H191"/>
    <x:mergeCell ref="A192:H193"/>
    <x:mergeCell ref="B195:H195"/>
    <x:mergeCell ref="B196:H196"/>
    <x:mergeCell ref="B197:H197"/>
    <x:mergeCell ref="A199:B199"/>
    <x:mergeCell ref="C199:H199"/>
    <x:mergeCell ref="A201:B202"/>
    <x:mergeCell ref="C201:H202"/>
    <x:mergeCell ref="A204:H204"/>
    <x:mergeCell ref="A205:H206"/>
    <x:mergeCell ref="B208:H208"/>
    <x:mergeCell ref="B209:H209"/>
    <x:mergeCell ref="B210:H210"/>
    <x:mergeCell ref="A212:B212"/>
    <x:mergeCell ref="C212:H212"/>
    <x:mergeCell ref="A214:B215"/>
    <x:mergeCell ref="C214:H215"/>
    <x:mergeCell ref="A217:H217"/>
    <x:mergeCell ref="A218:H219"/>
    <x:mergeCell ref="B221:H221"/>
    <x:mergeCell ref="B222:H222"/>
    <x:mergeCell ref="B223:H223"/>
    <x:mergeCell ref="A225:B225"/>
    <x:mergeCell ref="C225:H225"/>
    <x:mergeCell ref="A227:B228"/>
    <x:mergeCell ref="C227:H228"/>
    <x:mergeCell ref="A230:H230"/>
    <x:mergeCell ref="A231:H232"/>
    <x:mergeCell ref="B234:H234"/>
    <x:mergeCell ref="B235:H235"/>
    <x:mergeCell ref="A237:B237"/>
    <x:mergeCell ref="C237:H237"/>
    <x:mergeCell ref="A239:B240"/>
    <x:mergeCell ref="C239:H240"/>
    <x:mergeCell ref="A242:H242"/>
    <x:mergeCell ref="A243:H244"/>
    <x:mergeCell ref="B246:H246"/>
    <x:mergeCell ref="B247:H247"/>
    <x:mergeCell ref="B248:H248"/>
    <x:mergeCell ref="A250:B250"/>
    <x:mergeCell ref="C250:H250"/>
    <x:mergeCell ref="A252:B253"/>
    <x:mergeCell ref="C252:H253"/>
    <x:mergeCell ref="A255:H255"/>
    <x:mergeCell ref="A256:H257"/>
    <x:mergeCell ref="B259:H259"/>
    <x:mergeCell ref="B260:H260"/>
    <x:mergeCell ref="B261:H261"/>
    <x:mergeCell ref="B262:H262"/>
    <x:mergeCell ref="A264:B264"/>
    <x:mergeCell ref="C264:H264"/>
    <x:mergeCell ref="A266:B267"/>
    <x:mergeCell ref="C266:H267"/>
    <x:mergeCell ref="A269:H269"/>
    <x:mergeCell ref="A270:H271"/>
    <x:mergeCell ref="B273:H273"/>
    <x:mergeCell ref="B274:H274"/>
    <x:mergeCell ref="B275:H275"/>
    <x:mergeCell ref="A277:B277"/>
    <x:mergeCell ref="C277:H277"/>
    <x:mergeCell ref="A279:B280"/>
    <x:mergeCell ref="C279:H280"/>
    <x:mergeCell ref="A282:H282"/>
    <x:mergeCell ref="A283:H284"/>
    <x:mergeCell ref="B286:H286"/>
    <x:mergeCell ref="B287:H287"/>
    <x:mergeCell ref="B288:H288"/>
    <x:mergeCell ref="A290:B290"/>
    <x:mergeCell ref="C290:H290"/>
    <x:mergeCell ref="A292:B293"/>
    <x:mergeCell ref="C292:H293"/>
    <x:mergeCell ref="A295:H295"/>
    <x:mergeCell ref="A296:H297"/>
    <x:mergeCell ref="B299:H299"/>
    <x:mergeCell ref="B300:H300"/>
    <x:mergeCell ref="B301:H301"/>
    <x:mergeCell ref="A303:B303"/>
    <x:mergeCell ref="C303:H303"/>
    <x:mergeCell ref="A305:B306"/>
    <x:mergeCell ref="C305:H306"/>
    <x:mergeCell ref="A308:H308"/>
    <x:mergeCell ref="A309:H310"/>
    <x:mergeCell ref="B312:H312"/>
    <x:mergeCell ref="B313:H313"/>
    <x:mergeCell ref="B314:H314"/>
    <x:mergeCell ref="A316:B316"/>
    <x:mergeCell ref="C316:H316"/>
    <x:mergeCell ref="A318:B319"/>
    <x:mergeCell ref="C318:H319"/>
    <x:mergeCell ref="A321:H321"/>
    <x:mergeCell ref="A322:H323"/>
    <x:mergeCell ref="B325:H325"/>
    <x:mergeCell ref="B326:H326"/>
    <x:mergeCell ref="B327:H327"/>
    <x:mergeCell ref="B328:H328"/>
    <x:mergeCell ref="A330:B330"/>
    <x:mergeCell ref="C330:H330"/>
    <x:mergeCell ref="A332:B333"/>
    <x:mergeCell ref="C332:H333"/>
    <x:mergeCell ref="A335:H335"/>
    <x:mergeCell ref="A336:H337"/>
    <x:mergeCell ref="B339:H339"/>
    <x:mergeCell ref="B340:H340"/>
    <x:mergeCell ref="B341:H341"/>
    <x:mergeCell ref="A343:B343"/>
    <x:mergeCell ref="C343:H343"/>
    <x:mergeCell ref="A345:B346"/>
    <x:mergeCell ref="C345:H346"/>
  </x:mergeCells>
  <x:conditionalFormatting sqref="C15:H16">
    <x:cfRule type="expression" dxfId="150" priority="1">
      <x:formula>LEFT($C$15,6)="Верно."</x:formula>
    </x:cfRule>
    <x:cfRule type="expression" dxfId="151" priority="2">
      <x:formula>LEFT($C$15,7)="Неверно"</x:formula>
    </x:cfRule>
  </x:conditionalFormatting>
  <x:conditionalFormatting sqref="C28:H29">
    <x:cfRule type="expression" dxfId="152" priority="3">
      <x:formula>LEFT($C$28,6)="Верно."</x:formula>
    </x:cfRule>
    <x:cfRule type="expression" dxfId="153" priority="4">
      <x:formula>LEFT($C$28,7)="Неверно"</x:formula>
    </x:cfRule>
  </x:conditionalFormatting>
  <x:conditionalFormatting sqref="C43:H44">
    <x:cfRule type="expression" dxfId="154" priority="5">
      <x:formula>LEFT($C$43,6)="Верно."</x:formula>
    </x:cfRule>
    <x:cfRule type="expression" dxfId="155" priority="6">
      <x:formula>LEFT($C$43,7)="Неверно"</x:formula>
    </x:cfRule>
  </x:conditionalFormatting>
  <x:conditionalFormatting sqref="C58:H59">
    <x:cfRule type="expression" dxfId="156" priority="7">
      <x:formula>LEFT($C$58,6)="Верно."</x:formula>
    </x:cfRule>
    <x:cfRule type="expression" dxfId="157" priority="8">
      <x:formula>LEFT($C$58,7)="Неверно"</x:formula>
    </x:cfRule>
  </x:conditionalFormatting>
  <x:conditionalFormatting sqref="C73:H74">
    <x:cfRule type="expression" dxfId="158" priority="9">
      <x:formula>LEFT($C$73,6)="Верно."</x:formula>
    </x:cfRule>
    <x:cfRule type="expression" dxfId="159" priority="10">
      <x:formula>LEFT($C$73,7)="Неверно"</x:formula>
    </x:cfRule>
  </x:conditionalFormatting>
  <x:conditionalFormatting sqref="C88:H89">
    <x:cfRule type="expression" dxfId="160" priority="11">
      <x:formula>LEFT($C$88,6)="Верно."</x:formula>
    </x:cfRule>
    <x:cfRule type="expression" dxfId="161" priority="12">
      <x:formula>LEFT($C$88,7)="Неверно"</x:formula>
    </x:cfRule>
  </x:conditionalFormatting>
  <x:conditionalFormatting sqref="C103:H104">
    <x:cfRule type="expression" dxfId="162" priority="13">
      <x:formula>LEFT($C$103,6)="Верно."</x:formula>
    </x:cfRule>
    <x:cfRule type="expression" dxfId="163" priority="14">
      <x:formula>LEFT($C$103,7)="Неверно"</x:formula>
    </x:cfRule>
  </x:conditionalFormatting>
  <x:conditionalFormatting sqref="C118:H119">
    <x:cfRule type="expression" dxfId="164" priority="15">
      <x:formula>LEFT($C$118,6)="Верно."</x:formula>
    </x:cfRule>
    <x:cfRule type="expression" dxfId="165" priority="16">
      <x:formula>LEFT($C$118,7)="Неверно"</x:formula>
    </x:cfRule>
  </x:conditionalFormatting>
  <x:conditionalFormatting sqref="C133:H134">
    <x:cfRule type="expression" dxfId="166" priority="17">
      <x:formula>LEFT($C$133,6)="Верно."</x:formula>
    </x:cfRule>
    <x:cfRule type="expression" dxfId="167" priority="18">
      <x:formula>LEFT($C$133,7)="Неверно"</x:formula>
    </x:cfRule>
  </x:conditionalFormatting>
  <x:conditionalFormatting sqref="C148:H149">
    <x:cfRule type="expression" dxfId="168" priority="19">
      <x:formula>LEFT($C$148,6)="Верно."</x:formula>
    </x:cfRule>
    <x:cfRule type="expression" dxfId="169" priority="20">
      <x:formula>LEFT($C$148,7)="Неверно"</x:formula>
    </x:cfRule>
  </x:conditionalFormatting>
  <x:conditionalFormatting sqref="C162:H163">
    <x:cfRule type="expression" dxfId="170" priority="21">
      <x:formula>LEFT($C$162,6)="Верно."</x:formula>
    </x:cfRule>
    <x:cfRule type="expression" dxfId="171" priority="22">
      <x:formula>LEFT($C$162,7)="Неверно"</x:formula>
    </x:cfRule>
  </x:conditionalFormatting>
  <x:conditionalFormatting sqref="C175:H176">
    <x:cfRule type="expression" dxfId="172" priority="23">
      <x:formula>LEFT($C$175,6)="Верно."</x:formula>
    </x:cfRule>
    <x:cfRule type="expression" dxfId="173" priority="24">
      <x:formula>LEFT($C$175,7)="Неверно"</x:formula>
    </x:cfRule>
  </x:conditionalFormatting>
  <x:conditionalFormatting sqref="C188:H189">
    <x:cfRule type="expression" dxfId="174" priority="25">
      <x:formula>LEFT($C$188,6)="Верно."</x:formula>
    </x:cfRule>
    <x:cfRule type="expression" dxfId="175" priority="26">
      <x:formula>LEFT($C$188,7)="Неверно"</x:formula>
    </x:cfRule>
  </x:conditionalFormatting>
  <x:conditionalFormatting sqref="C201:H202">
    <x:cfRule type="expression" dxfId="176" priority="27">
      <x:formula>LEFT($C$201,6)="Верно."</x:formula>
    </x:cfRule>
    <x:cfRule type="expression" dxfId="177" priority="28">
      <x:formula>LEFT($C$201,7)="Неверно"</x:formula>
    </x:cfRule>
  </x:conditionalFormatting>
  <x:conditionalFormatting sqref="C214:H215">
    <x:cfRule type="expression" dxfId="178" priority="29">
      <x:formula>LEFT($C$214,6)="Верно."</x:formula>
    </x:cfRule>
    <x:cfRule type="expression" dxfId="179" priority="30">
      <x:formula>LEFT($C$214,7)="Неверно"</x:formula>
    </x:cfRule>
  </x:conditionalFormatting>
  <x:conditionalFormatting sqref="C227:H228">
    <x:cfRule type="expression" dxfId="180" priority="31">
      <x:formula>LEFT($C$227,6)="Верно."</x:formula>
    </x:cfRule>
    <x:cfRule type="expression" dxfId="181" priority="32">
      <x:formula>LEFT($C$227,7)="Неверно"</x:formula>
    </x:cfRule>
  </x:conditionalFormatting>
  <x:conditionalFormatting sqref="C239:H240">
    <x:cfRule type="expression" dxfId="182" priority="33">
      <x:formula>LEFT($C$239,6)="Верно."</x:formula>
    </x:cfRule>
    <x:cfRule type="expression" dxfId="183" priority="34">
      <x:formula>LEFT($C$239,7)="Неверно"</x:formula>
    </x:cfRule>
  </x:conditionalFormatting>
  <x:conditionalFormatting sqref="C252:H253">
    <x:cfRule type="expression" dxfId="184" priority="35">
      <x:formula>LEFT($C$252,6)="Верно."</x:formula>
    </x:cfRule>
    <x:cfRule type="expression" dxfId="185" priority="36">
      <x:formula>LEFT($C$252,7)="Неверно"</x:formula>
    </x:cfRule>
  </x:conditionalFormatting>
  <x:conditionalFormatting sqref="C266:H267">
    <x:cfRule type="expression" dxfId="186" priority="37">
      <x:formula>LEFT($C$266,6)="Верно."</x:formula>
    </x:cfRule>
    <x:cfRule type="expression" dxfId="187" priority="38">
      <x:formula>LEFT($C$266,7)="Неверно"</x:formula>
    </x:cfRule>
  </x:conditionalFormatting>
  <x:conditionalFormatting sqref="C279:H280">
    <x:cfRule type="expression" dxfId="188" priority="39">
      <x:formula>LEFT($C$279,6)="Верно."</x:formula>
    </x:cfRule>
    <x:cfRule type="expression" dxfId="189" priority="40">
      <x:formula>LEFT($C$279,7)="Неверно"</x:formula>
    </x:cfRule>
  </x:conditionalFormatting>
  <x:conditionalFormatting sqref="C292:H293">
    <x:cfRule type="expression" dxfId="190" priority="41">
      <x:formula>LEFT($C$292,6)="Верно."</x:formula>
    </x:cfRule>
    <x:cfRule type="expression" dxfId="191" priority="42">
      <x:formula>LEFT($C$292,7)="Неверно"</x:formula>
    </x:cfRule>
  </x:conditionalFormatting>
  <x:conditionalFormatting sqref="C305:H306">
    <x:cfRule type="expression" dxfId="192" priority="43">
      <x:formula>LEFT($C$305,6)="Верно."</x:formula>
    </x:cfRule>
    <x:cfRule type="expression" dxfId="193" priority="44">
      <x:formula>LEFT($C$305,7)="Неверно"</x:formula>
    </x:cfRule>
  </x:conditionalFormatting>
  <x:conditionalFormatting sqref="C318:H319">
    <x:cfRule type="expression" dxfId="194" priority="45">
      <x:formula>LEFT($C$318,6)="Верно."</x:formula>
    </x:cfRule>
    <x:cfRule type="expression" dxfId="195" priority="46">
      <x:formula>LEFT($C$318,7)="Неверно"</x:formula>
    </x:cfRule>
  </x:conditionalFormatting>
  <x:conditionalFormatting sqref="C332:H333">
    <x:cfRule type="expression" dxfId="196" priority="47">
      <x:formula>LEFT($C$332,6)="Верно."</x:formula>
    </x:cfRule>
    <x:cfRule type="expression" dxfId="197" priority="48">
      <x:formula>LEFT($C$332,7)="Неверно"</x:formula>
    </x:cfRule>
  </x:conditionalFormatting>
  <x:conditionalFormatting sqref="C345:H346">
    <x:cfRule type="expression" dxfId="198" priority="49">
      <x:formula>LEFT($C$345,6)="Верно."</x:formula>
    </x:cfRule>
    <x:cfRule type="expression" dxfId="199" priority="50">
      <x:formula>LEFT($C$345,7)="Неверно"</x:formula>
    </x:cfRule>
  </x:conditionalFormatting>
  <x:dataValidations count="25">
    <x:dataValidation type="list" sqref="C13:H13">
      <x:formula1>"A,B,C"</x:formula1>
    </x:dataValidation>
    <x:dataValidation type="list" sqref="C26:H26">
      <x:formula1>"A,B,C"</x:formula1>
    </x:dataValidation>
    <x:dataValidation type="list" sqref="C41:H41">
      <x:formula1>"A,B,C,D,E"</x:formula1>
    </x:dataValidation>
    <x:dataValidation type="list" sqref="C56:H56">
      <x:formula1>"A,B,C,D,E"</x:formula1>
    </x:dataValidation>
    <x:dataValidation type="list" sqref="C71:H71">
      <x:formula1>"A,B,C,D,E"</x:formula1>
    </x:dataValidation>
    <x:dataValidation type="list" sqref="C86:H86">
      <x:formula1>"A,B,C,D,E"</x:formula1>
    </x:dataValidation>
    <x:dataValidation type="list" sqref="C101:H101">
      <x:formula1>"A,B,C,D,E"</x:formula1>
    </x:dataValidation>
    <x:dataValidation type="list" sqref="C116:H116">
      <x:formula1>"A,B,C,D,E"</x:formula1>
    </x:dataValidation>
    <x:dataValidation type="list" sqref="C131:H131">
      <x:formula1>"A,B,C,D,E"</x:formula1>
    </x:dataValidation>
    <x:dataValidation type="list" sqref="C146:H146">
      <x:formula1>"A,B,C,D,E"</x:formula1>
    </x:dataValidation>
    <x:dataValidation type="list" sqref="C160:H160">
      <x:formula1>"A,B,C,D"</x:formula1>
    </x:dataValidation>
    <x:dataValidation type="list" sqref="C173:H173">
      <x:formula1>"A,B,C"</x:formula1>
    </x:dataValidation>
    <x:dataValidation type="list" sqref="C186:H186">
      <x:formula1>"A,B,C"</x:formula1>
    </x:dataValidation>
    <x:dataValidation type="list" sqref="C199:H199">
      <x:formula1>"A,B,C"</x:formula1>
    </x:dataValidation>
    <x:dataValidation type="list" sqref="C212:H212">
      <x:formula1>"A,B,C"</x:formula1>
    </x:dataValidation>
    <x:dataValidation type="list" sqref="C225:H225">
      <x:formula1>"A,B,C"</x:formula1>
    </x:dataValidation>
    <x:dataValidation type="list" sqref="C237:H237">
      <x:formula1>"A,B"</x:formula1>
    </x:dataValidation>
    <x:dataValidation type="list" sqref="C250:H250">
      <x:formula1>"A,B,C"</x:formula1>
    </x:dataValidation>
    <x:dataValidation type="list" sqref="C264:H264">
      <x:formula1>"A,B,C,D"</x:formula1>
    </x:dataValidation>
    <x:dataValidation type="list" sqref="C277:H277">
      <x:formula1>"A,B,C"</x:formula1>
    </x:dataValidation>
    <x:dataValidation type="list" sqref="C290:H290">
      <x:formula1>"A,B,C"</x:formula1>
    </x:dataValidation>
    <x:dataValidation type="list" sqref="C303:H303">
      <x:formula1>"A,B,C"</x:formula1>
    </x:dataValidation>
    <x:dataValidation type="list" sqref="C316:H316">
      <x:formula1>"A,B,C"</x:formula1>
    </x:dataValidation>
    <x:dataValidation type="list" sqref="C330:H330">
      <x:formula1>"A,B,C,D"</x:formula1>
    </x:dataValidation>
    <x:dataValidation type="list" sqref="C343:H343">
      <x:formula1>"A,B,C"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26" max="26" width="2" hidden="0" customWidth="1"/>
    <x:col min="27" max="27" width="2" hidden="0" customWidth="1"/>
  </x:cols>
  <x:sheetData>
    <x:row r="1" ht="28" customHeight="1">
      <x:c r="A1" s="214" t="str">
        <x:v>Тест ГНВП — вопросы 51–75</x:v>
      </x:c>
      <x:c r="B1" s="214"/>
      <x:c r="C1" s="214"/>
      <x:c r="D1" s="214"/>
      <x:c r="E1" s="214"/>
      <x:c r="F1" s="214"/>
      <x:c r="G1" s="214"/>
      <x:c r="H1" s="214"/>
    </x:row>
    <x:row r="2" ht="28" customHeight="1">
      <x:c r="A2" s="219" t="str">
        <x:v>Выбирайте букву ответа. После выбора сразу появится комментарий.</x:v>
      </x:c>
      <x:c r="B2" s="219"/>
      <x:c r="C2" s="219"/>
      <x:c r="D2" s="219"/>
      <x:c r="E2" s="219"/>
      <x:c r="F2" s="219"/>
      <x:c r="G2" s="219"/>
      <x:c r="H2" s="219"/>
    </x:row>
    <x:row r="3">
      <x:c r="A3" s="223" t="str">
        <x:v>Отвечено</x:v>
      </x:c>
      <x:c r="B3" s="223"/>
      <x:c r="C3" s="224" t="n">
        <x:f>SUM(AA5:AA600)</x:f>
        <x:v>0</x:v>
      </x:c>
      <x:c r="D3" s="223" t="str">
        <x:v>Правильно</x:v>
      </x:c>
      <x:c r="E3" s="223"/>
      <x:c r="F3" s="224" t="n">
        <x:f>SUM(Z5:Z600)</x:f>
        <x:v>0</x:v>
      </x:c>
      <x:c r="G3" s="223" t="str">
        <x:v>Результат</x:v>
      </x:c>
      <x:c r="H3" s="225" t="n">
        <x:f>IF(F3=0,0,F3/25)</x:f>
        <x:v>0</x:v>
      </x:c>
    </x:row>
    <x:row r="4" ht="10" customHeight="1"/>
    <x:row r="5" ht="24" customHeight="1">
      <x:c r="A5" s="228" t="str">
        <x:v>Вопрос 1 из 25</x:v>
      </x:c>
      <x:c r="B5" s="228"/>
      <x:c r="C5" s="228"/>
      <x:c r="D5" s="228"/>
      <x:c r="E5" s="228"/>
      <x:c r="F5" s="228"/>
      <x:c r="G5" s="228"/>
      <x:c r="H5" s="228"/>
    </x:row>
    <x:row r="6" ht="48" customHeight="1">
      <x:c r="A6" s="243" t="str">
        <x:v>На какую величину в интервалах совместимых условий бурения давление гидростатического столба бурового раствора должно превышать пластовое давление при бурении скважин в интервалах более 2500 м?</x:v>
      </x:c>
      <x:c r="B6" s="244"/>
      <x:c r="C6" s="244"/>
      <x:c r="D6" s="244"/>
      <x:c r="E6" s="244"/>
      <x:c r="F6" s="244"/>
      <x:c r="G6" s="244"/>
      <x:c r="H6" s="245"/>
    </x:row>
    <x:row r="7" ht="48" customHeight="1">
      <x:c r="A7" s="246"/>
      <x:c r="B7" s="247"/>
      <x:c r="C7" s="247"/>
      <x:c r="D7" s="247"/>
      <x:c r="E7" s="247"/>
      <x:c r="F7" s="247"/>
      <x:c r="G7" s="247"/>
      <x:c r="H7" s="248"/>
    </x:row>
    <x:row r="8" ht="8" customHeight="1"/>
    <x:row r="9" ht="24" customHeight="1">
      <x:c r="A9" s="253" t="str">
        <x:v>A</x:v>
      </x:c>
      <x:c r="B9" s="99" t="str">
        <x:v>10–15 %, но не более 15 кгс/см² (1,5 МПа).</x:v>
      </x:c>
      <x:c r="C9" s="100"/>
      <x:c r="D9" s="100"/>
      <x:c r="E9" s="100"/>
      <x:c r="F9" s="100"/>
      <x:c r="G9" s="100"/>
      <x:c r="H9" s="101"/>
    </x:row>
    <x:row r="10" ht="24" customHeight="1">
      <x:c r="A10" s="253" t="str">
        <x:v>B</x:v>
      </x:c>
      <x:c r="B10" s="99" t="str">
        <x:v>5–10 %, но не более 25–30 кгс/см² (2,5–3,0 МПа).</x:v>
      </x:c>
      <x:c r="C10" s="100"/>
      <x:c r="D10" s="100"/>
      <x:c r="E10" s="100"/>
      <x:c r="F10" s="100"/>
      <x:c r="G10" s="100"/>
      <x:c r="H10" s="101"/>
    </x:row>
    <x:row r="11" ht="24" customHeight="1">
      <x:c r="A11" s="253" t="str">
        <x:v>C</x:v>
      </x:c>
      <x:c r="B11" s="99" t="str">
        <x:v>4–7 %, но не более 35 кгс/см² (3,5 МПа).</x:v>
      </x:c>
      <x:c r="C11" s="100"/>
      <x:c r="D11" s="100"/>
      <x:c r="E11" s="100"/>
      <x:c r="F11" s="100"/>
      <x:c r="G11" s="100"/>
      <x:c r="H11" s="101"/>
    </x:row>
    <x:row r="12" ht="8" customHeight="1"/>
    <x:row r="13" ht="28" customHeight="1">
      <x:c r="A13" s="258" t="str">
        <x:v>Ваш ответ:</x:v>
      </x:c>
      <x:c r="B13" s="259"/>
      <x:c r="C13" s="268"/>
      <x:c r="D13" s="269"/>
      <x:c r="E13" s="269"/>
      <x:c r="F13" s="269"/>
      <x:c r="G13" s="269"/>
      <x:c r="H13" s="270"/>
      <x:c r="Z13" t="n">
        <x:f>IF(C13="",0,IF(C13="C",1,0))</x:f>
        <x:v>0</x:v>
      </x:c>
      <x:c r="AA13" t="n">
        <x:f>IF(C13="",0,1)</x:f>
        <x:v>0</x:v>
      </x:c>
    </x:row>
    <x:row r="14" ht="8" customHeight="1"/>
    <x:row r="15" ht="30" customHeight="1">
      <x:c r="A15" s="343" t="str">
        <x:v>Комментарий:</x:v>
      </x:c>
      <x:c r="B15" s="344"/>
      <x:c r="C15" s="176" t="str">
        <x:f>IF(C13="","Выберите ответ.",IF(C13="A","Неверно. Числовой результат не соответствует расчёту исходного теста. Правильный вариант: C.",IF(C13="B","Неверно. Числовой результат не соответствует расчёту исходного теста. Правильный вариант: C.",IF(C13="C","Верно. Это значение соответствует расчёту, заложенному в исходном тесте.","Неверно. Ответ не распознан. Правильный вариант: C."))))</x:f>
        <x:v>Выберите ответ.</x:v>
      </x:c>
      <x:c r="D15" s="177"/>
      <x:c r="E15" s="177"/>
      <x:c r="F15" s="177"/>
      <x:c r="G15" s="177"/>
      <x:c r="H15" s="178"/>
    </x:row>
    <x:row r="16" ht="30" customHeight="1">
      <x:c r="A16" s="345"/>
      <x:c r="B16" s="346"/>
      <x:c r="C16" s="179"/>
      <x:c r="D16" s="180"/>
      <x:c r="E16" s="180"/>
      <x:c r="F16" s="180"/>
      <x:c r="G16" s="180"/>
      <x:c r="H16" s="181"/>
    </x:row>
    <x:row r="18" ht="24" customHeight="1">
      <x:c r="A18" s="228" t="str">
        <x:v>Вопрос 2 из 25</x:v>
      </x:c>
      <x:c r="B18" s="228"/>
      <x:c r="C18" s="228"/>
      <x:c r="D18" s="228"/>
      <x:c r="E18" s="228"/>
      <x:c r="F18" s="228"/>
      <x:c r="G18" s="228"/>
      <x:c r="H18" s="228"/>
    </x:row>
    <x:row r="19" ht="48" customHeight="1">
      <x:c r="A19" s="243" t="str">
        <x:v>Укажите допустимый объем притока пластового флюида в ствол скважины, который определяется из условий обеспечения контроля скважины и реализации мероприятий по ликвидации газонефтеводопроявлений без осложнений при подъеме труб:</x:v>
      </x:c>
      <x:c r="B19" s="244"/>
      <x:c r="C19" s="244"/>
      <x:c r="D19" s="244"/>
      <x:c r="E19" s="244"/>
      <x:c r="F19" s="244"/>
      <x:c r="G19" s="244"/>
      <x:c r="H19" s="245"/>
    </x:row>
    <x:row r="20" ht="48" customHeight="1">
      <x:c r="A20" s="246"/>
      <x:c r="B20" s="247"/>
      <x:c r="C20" s="247"/>
      <x:c r="D20" s="247"/>
      <x:c r="E20" s="247"/>
      <x:c r="F20" s="247"/>
      <x:c r="G20" s="247"/>
      <x:c r="H20" s="248"/>
    </x:row>
    <x:row r="21" ht="8" customHeight="1"/>
    <x:row r="22" ht="24" customHeight="1">
      <x:c r="A22" s="253" t="str">
        <x:v>A</x:v>
      </x:c>
      <x:c r="B22" s="99" t="str">
        <x:v>0,5 м³</x:v>
      </x:c>
      <x:c r="C22" s="100"/>
      <x:c r="D22" s="100"/>
      <x:c r="E22" s="100"/>
      <x:c r="F22" s="100"/>
      <x:c r="G22" s="100"/>
      <x:c r="H22" s="101"/>
    </x:row>
    <x:row r="23" ht="24" customHeight="1">
      <x:c r="A23" s="253" t="str">
        <x:v>B</x:v>
      </x:c>
      <x:c r="B23" s="99" t="str">
        <x:v>1,0 м³</x:v>
      </x:c>
      <x:c r="C23" s="100"/>
      <x:c r="D23" s="100"/>
      <x:c r="E23" s="100"/>
      <x:c r="F23" s="100"/>
      <x:c r="G23" s="100"/>
      <x:c r="H23" s="101"/>
    </x:row>
    <x:row r="24" ht="24" customHeight="1">
      <x:c r="A24" s="253" t="str">
        <x:v>C</x:v>
      </x:c>
      <x:c r="B24" s="99" t="str">
        <x:v>2,0 м³</x:v>
      </x:c>
      <x:c r="C24" s="100"/>
      <x:c r="D24" s="100"/>
      <x:c r="E24" s="100"/>
      <x:c r="F24" s="100"/>
      <x:c r="G24" s="100"/>
      <x:c r="H24" s="101"/>
    </x:row>
    <x:row r="25" ht="8" customHeight="1"/>
    <x:row r="26" ht="28" customHeight="1">
      <x:c r="A26" s="258" t="str">
        <x:v>Ваш ответ:</x:v>
      </x:c>
      <x:c r="B26" s="259"/>
      <x:c r="C26" s="268"/>
      <x:c r="D26" s="269"/>
      <x:c r="E26" s="269"/>
      <x:c r="F26" s="269"/>
      <x:c r="G26" s="269"/>
      <x:c r="H26" s="270"/>
      <x:c r="Z26" t="n">
        <x:f>IF(C26="",0,IF(C26="A",1,0))</x:f>
        <x:v>0</x:v>
      </x:c>
      <x:c r="AA26" t="n">
        <x:f>IF(C26="",0,1)</x:f>
        <x:v>0</x:v>
      </x:c>
    </x:row>
    <x:row r="27" ht="8" customHeight="1"/>
    <x:row r="28" ht="30" customHeight="1">
      <x:c r="A28" s="343" t="str">
        <x:v>Комментарий:</x:v>
      </x:c>
      <x:c r="B28" s="344"/>
      <x:c r="C28" s="176" t="str">
        <x:f>IF(C26="","Выберите ответ.",IF(C26="A","Верно. Указано нормативное значение или предел, приведённый в исходном тесте.",IF(C26="B","Неверно. Указано другое нормативное значение или предел. Правильный вариант: A.",IF(C26="C","Неверно. Указано другое нормативное значение или предел. Правильный вариант: A.","Неверно. Ответ не распознан. Правильный вариант: A."))))</x:f>
        <x:v>Выберите ответ.</x:v>
      </x:c>
      <x:c r="D28" s="177"/>
      <x:c r="E28" s="177"/>
      <x:c r="F28" s="177"/>
      <x:c r="G28" s="177"/>
      <x:c r="H28" s="178"/>
    </x:row>
    <x:row r="29" ht="30" customHeight="1">
      <x:c r="A29" s="345"/>
      <x:c r="B29" s="346"/>
      <x:c r="C29" s="179"/>
      <x:c r="D29" s="180"/>
      <x:c r="E29" s="180"/>
      <x:c r="F29" s="180"/>
      <x:c r="G29" s="180"/>
      <x:c r="H29" s="181"/>
    </x:row>
    <x:row r="31" ht="24" customHeight="1">
      <x:c r="A31" s="228" t="str">
        <x:v>Вопрос 3 из 25</x:v>
      </x:c>
      <x:c r="B31" s="228"/>
      <x:c r="C31" s="228"/>
      <x:c r="D31" s="228"/>
      <x:c r="E31" s="228"/>
      <x:c r="F31" s="228"/>
      <x:c r="G31" s="228"/>
      <x:c r="H31" s="228"/>
    </x:row>
    <x:row r="32" ht="34" customHeight="1">
      <x:c r="A32" s="243" t="str">
        <x:v>При каком объёмном содержании газа в буровом растворе необходимо включить в работу дегазатор?</x:v>
      </x:c>
      <x:c r="B32" s="244"/>
      <x:c r="C32" s="244"/>
      <x:c r="D32" s="244"/>
      <x:c r="E32" s="244"/>
      <x:c r="F32" s="244"/>
      <x:c r="G32" s="244"/>
      <x:c r="H32" s="245"/>
    </x:row>
    <x:row r="33" ht="34" customHeight="1">
      <x:c r="A33" s="246"/>
      <x:c r="B33" s="247"/>
      <x:c r="C33" s="247"/>
      <x:c r="D33" s="247"/>
      <x:c r="E33" s="247"/>
      <x:c r="F33" s="247"/>
      <x:c r="G33" s="247"/>
      <x:c r="H33" s="248"/>
    </x:row>
    <x:row r="34" ht="8" customHeight="1"/>
    <x:row r="35" ht="24" customHeight="1">
      <x:c r="A35" s="253" t="str">
        <x:v>A</x:v>
      </x:c>
      <x:c r="B35" s="99" t="str">
        <x:v>Более 10 %</x:v>
      </x:c>
      <x:c r="C35" s="100"/>
      <x:c r="D35" s="100"/>
      <x:c r="E35" s="100"/>
      <x:c r="F35" s="100"/>
      <x:c r="G35" s="100"/>
      <x:c r="H35" s="101"/>
    </x:row>
    <x:row r="36" ht="24" customHeight="1">
      <x:c r="A36" s="253" t="str">
        <x:v>B</x:v>
      </x:c>
      <x:c r="B36" s="99" t="str">
        <x:v>Более 5 %</x:v>
      </x:c>
      <x:c r="C36" s="100"/>
      <x:c r="D36" s="100"/>
      <x:c r="E36" s="100"/>
      <x:c r="F36" s="100"/>
      <x:c r="G36" s="100"/>
      <x:c r="H36" s="101"/>
    </x:row>
    <x:row r="37" ht="24" customHeight="1">
      <x:c r="A37" s="253" t="str">
        <x:v>C</x:v>
      </x:c>
      <x:c r="B37" s="99" t="str">
        <x:v>Более 1 %</x:v>
      </x:c>
      <x:c r="C37" s="100"/>
      <x:c r="D37" s="100"/>
      <x:c r="E37" s="100"/>
      <x:c r="F37" s="100"/>
      <x:c r="G37" s="100"/>
      <x:c r="H37" s="101"/>
    </x:row>
    <x:row r="38" ht="8" customHeight="1"/>
    <x:row r="39" ht="28" customHeight="1">
      <x:c r="A39" s="258" t="str">
        <x:v>Ваш ответ:</x:v>
      </x:c>
      <x:c r="B39" s="259"/>
      <x:c r="C39" s="268"/>
      <x:c r="D39" s="269"/>
      <x:c r="E39" s="269"/>
      <x:c r="F39" s="269"/>
      <x:c r="G39" s="269"/>
      <x:c r="H39" s="270"/>
      <x:c r="Z39" t="n">
        <x:f>IF(C39="",0,IF(C39="B",1,0))</x:f>
        <x:v>0</x:v>
      </x:c>
      <x:c r="AA39" t="n">
        <x:f>IF(C39="",0,1)</x:f>
        <x:v>0</x:v>
      </x:c>
    </x:row>
    <x:row r="40" ht="8" customHeight="1"/>
    <x:row r="41" ht="30" customHeight="1">
      <x:c r="A41" s="343" t="str">
        <x:v>Комментарий:</x:v>
      </x:c>
      <x:c r="B41" s="344"/>
      <x:c r="C41" s="176" t="str">
        <x:f>IF(C39="","Выберите ответ.",IF(C39="A","Неверно. Этот вариант не соответствует ключу исходного теста. Правильный вариант: B.",IF(C39="B","Верно. Этот вариант соответствует ключу исходного теста.",IF(C39="C","Неверно. Этот вариант не соответствует ключу исходного теста. Правильный вариант: B.","Неверно. Ответ не распознан. Правильный вариант: B."))))</x:f>
        <x:v>Выберите ответ.</x:v>
      </x:c>
      <x:c r="D41" s="177"/>
      <x:c r="E41" s="177"/>
      <x:c r="F41" s="177"/>
      <x:c r="G41" s="177"/>
      <x:c r="H41" s="178"/>
    </x:row>
    <x:row r="42" ht="30" customHeight="1">
      <x:c r="A42" s="345"/>
      <x:c r="B42" s="346"/>
      <x:c r="C42" s="179"/>
      <x:c r="D42" s="180"/>
      <x:c r="E42" s="180"/>
      <x:c r="F42" s="180"/>
      <x:c r="G42" s="180"/>
      <x:c r="H42" s="181"/>
    </x:row>
    <x:row r="44" ht="24" customHeight="1">
      <x:c r="A44" s="228" t="str">
        <x:v>Вопрос 4 из 25</x:v>
      </x:c>
      <x:c r="B44" s="228"/>
      <x:c r="C44" s="228"/>
      <x:c r="D44" s="228"/>
      <x:c r="E44" s="228"/>
      <x:c r="F44" s="228"/>
      <x:c r="G44" s="228"/>
      <x:c r="H44" s="228"/>
    </x:row>
    <x:row r="45" ht="48" customHeight="1">
      <x:c r="A45" s="243" t="str">
        <x:v>На каком минимальном расстоянии от устья скважины необходимо устанавливать пульт управления противовыбросовым оборудованием?</x:v>
      </x:c>
      <x:c r="B45" s="244"/>
      <x:c r="C45" s="244"/>
      <x:c r="D45" s="244"/>
      <x:c r="E45" s="244"/>
      <x:c r="F45" s="244"/>
      <x:c r="G45" s="244"/>
      <x:c r="H45" s="245"/>
    </x:row>
    <x:row r="46" ht="48" customHeight="1">
      <x:c r="A46" s="246"/>
      <x:c r="B46" s="247"/>
      <x:c r="C46" s="247"/>
      <x:c r="D46" s="247"/>
      <x:c r="E46" s="247"/>
      <x:c r="F46" s="247"/>
      <x:c r="G46" s="247"/>
      <x:c r="H46" s="248"/>
    </x:row>
    <x:row r="47" ht="8" customHeight="1"/>
    <x:row r="48" ht="24" customHeight="1">
      <x:c r="A48" s="253" t="str">
        <x:v>A</x:v>
      </x:c>
      <x:c r="B48" s="99" t="str">
        <x:v>5 метров</x:v>
      </x:c>
      <x:c r="C48" s="100"/>
      <x:c r="D48" s="100"/>
      <x:c r="E48" s="100"/>
      <x:c r="F48" s="100"/>
      <x:c r="G48" s="100"/>
      <x:c r="H48" s="101"/>
    </x:row>
    <x:row r="49" ht="24" customHeight="1">
      <x:c r="A49" s="253" t="str">
        <x:v>B</x:v>
      </x:c>
      <x:c r="B49" s="99" t="str">
        <x:v>10 метров</x:v>
      </x:c>
      <x:c r="C49" s="100"/>
      <x:c r="D49" s="100"/>
      <x:c r="E49" s="100"/>
      <x:c r="F49" s="100"/>
      <x:c r="G49" s="100"/>
      <x:c r="H49" s="101"/>
    </x:row>
    <x:row r="50" ht="24" customHeight="1">
      <x:c r="A50" s="253" t="str">
        <x:v>C</x:v>
      </x:c>
      <x:c r="B50" s="99" t="str">
        <x:v>15 метров</x:v>
      </x:c>
      <x:c r="C50" s="100"/>
      <x:c r="D50" s="100"/>
      <x:c r="E50" s="100"/>
      <x:c r="F50" s="100"/>
      <x:c r="G50" s="100"/>
      <x:c r="H50" s="101"/>
    </x:row>
    <x:row r="51" ht="8" customHeight="1"/>
    <x:row r="52" ht="28" customHeight="1">
      <x:c r="A52" s="258" t="str">
        <x:v>Ваш ответ:</x:v>
      </x:c>
      <x:c r="B52" s="259"/>
      <x:c r="C52" s="268"/>
      <x:c r="D52" s="269"/>
      <x:c r="E52" s="269"/>
      <x:c r="F52" s="269"/>
      <x:c r="G52" s="269"/>
      <x:c r="H52" s="270"/>
      <x:c r="Z52" t="n">
        <x:f>IF(C52="",0,IF(C52="B",1,0))</x:f>
        <x:v>0</x:v>
      </x:c>
      <x:c r="AA52" t="n">
        <x:f>IF(C52="",0,1)</x:f>
        <x:v>0</x:v>
      </x:c>
    </x:row>
    <x:row r="53" ht="8" customHeight="1"/>
    <x:row r="54" ht="30" customHeight="1">
      <x:c r="A54" s="343" t="str">
        <x:v>Комментарий:</x:v>
      </x:c>
      <x:c r="B54" s="344"/>
      <x:c r="C54" s="176" t="str">
        <x:f>IF(C52="","Выберите ответ.",IF(C52="A","Неверно. Указано другое нормативное значение или предел. Правильный вариант: B.",IF(C52="B","Верно. Указано нормативное значение или предел, приведённый в исходном тесте.",IF(C52="C","Неверно. Указано другое нормативное значение или предел. Правильный вариант: B.","Неверно. Ответ не распознан. Правильный вариант: B."))))</x:f>
        <x:v>Выберите ответ.</x:v>
      </x:c>
      <x:c r="D54" s="177"/>
      <x:c r="E54" s="177"/>
      <x:c r="F54" s="177"/>
      <x:c r="G54" s="177"/>
      <x:c r="H54" s="178"/>
    </x:row>
    <x:row r="55" ht="30" customHeight="1">
      <x:c r="A55" s="345"/>
      <x:c r="B55" s="346"/>
      <x:c r="C55" s="179"/>
      <x:c r="D55" s="180"/>
      <x:c r="E55" s="180"/>
      <x:c r="F55" s="180"/>
      <x:c r="G55" s="180"/>
      <x:c r="H55" s="181"/>
    </x:row>
    <x:row r="57" ht="24" customHeight="1">
      <x:c r="A57" s="228" t="str">
        <x:v>Вопрос 5 из 25</x:v>
      </x:c>
      <x:c r="B57" s="228"/>
      <x:c r="C57" s="228"/>
      <x:c r="D57" s="228"/>
      <x:c r="E57" s="228"/>
      <x:c r="F57" s="228"/>
      <x:c r="G57" s="228"/>
      <x:c r="H57" s="228"/>
    </x:row>
    <x:row r="58" ht="34" customHeight="1">
      <x:c r="A58" s="243" t="str">
        <x:v>Что из нижеперечисленного является главной причиной эффекта поршневания?</x:v>
      </x:c>
      <x:c r="B58" s="244"/>
      <x:c r="C58" s="244"/>
      <x:c r="D58" s="244"/>
      <x:c r="E58" s="244"/>
      <x:c r="F58" s="244"/>
      <x:c r="G58" s="244"/>
      <x:c r="H58" s="245"/>
    </x:row>
    <x:row r="59" ht="34" customHeight="1">
      <x:c r="A59" s="246"/>
      <x:c r="B59" s="247"/>
      <x:c r="C59" s="247"/>
      <x:c r="D59" s="247"/>
      <x:c r="E59" s="247"/>
      <x:c r="F59" s="247"/>
      <x:c r="G59" s="247"/>
      <x:c r="H59" s="248"/>
    </x:row>
    <x:row r="60" ht="8" customHeight="1"/>
    <x:row r="61" ht="24" customHeight="1">
      <x:c r="A61" s="253" t="str">
        <x:v>A</x:v>
      </x:c>
      <x:c r="B61" s="99" t="str">
        <x:v>Низкое значение пластической вязкости и предельного статического напряжения сдвига бурового раствора.</x:v>
      </x:c>
      <x:c r="C61" s="100"/>
      <x:c r="D61" s="100"/>
      <x:c r="E61" s="100"/>
      <x:c r="F61" s="100"/>
      <x:c r="G61" s="100"/>
      <x:c r="H61" s="101"/>
    </x:row>
    <x:row r="62" ht="24" customHeight="1">
      <x:c r="A62" s="253" t="str">
        <x:v>B</x:v>
      </x:c>
      <x:c r="B62" s="99" t="str">
        <x:v>Слишком быстрый подъем труб.</x:v>
      </x:c>
      <x:c r="C62" s="100"/>
      <x:c r="D62" s="100"/>
      <x:c r="E62" s="100"/>
      <x:c r="F62" s="100"/>
      <x:c r="G62" s="100"/>
      <x:c r="H62" s="101"/>
    </x:row>
    <x:row r="63" ht="24" customHeight="1">
      <x:c r="A63" s="253" t="str">
        <x:v>C</x:v>
      </x:c>
      <x:c r="B63" s="99" t="str">
        <x:v>Неправильная плотность бурового раствора.</x:v>
      </x:c>
      <x:c r="C63" s="100"/>
      <x:c r="D63" s="100"/>
      <x:c r="E63" s="100"/>
      <x:c r="F63" s="100"/>
      <x:c r="G63" s="100"/>
      <x:c r="H63" s="101"/>
    </x:row>
    <x:row r="64" ht="24" customHeight="1">
      <x:c r="A64" s="253" t="str">
        <x:v>D</x:v>
      </x:c>
      <x:c r="B64" s="99" t="str">
        <x:v>Неправильная эквивалентная плотность бурового раствора.</x:v>
      </x:c>
      <x:c r="C64" s="100"/>
      <x:c r="D64" s="100"/>
      <x:c r="E64" s="100"/>
      <x:c r="F64" s="100"/>
      <x:c r="G64" s="100"/>
      <x:c r="H64" s="101"/>
    </x:row>
    <x:row r="65" ht="8" customHeight="1"/>
    <x:row r="66" ht="28" customHeight="1">
      <x:c r="A66" s="258" t="str">
        <x:v>Ваш ответ:</x:v>
      </x:c>
      <x:c r="B66" s="259"/>
      <x:c r="C66" s="268"/>
      <x:c r="D66" s="269"/>
      <x:c r="E66" s="269"/>
      <x:c r="F66" s="269"/>
      <x:c r="G66" s="269"/>
      <x:c r="H66" s="270"/>
      <x:c r="Z66" t="n">
        <x:f>IF(C66="",0,IF(C66="B",1,0))</x:f>
        <x:v>0</x:v>
      </x:c>
      <x:c r="AA66" t="n">
        <x:f>IF(C66="",0,1)</x:f>
        <x:v>0</x:v>
      </x:c>
    </x:row>
    <x:row r="67" ht="8" customHeight="1"/>
    <x:row r="68" ht="30" customHeight="1">
      <x:c r="A68" s="343" t="str">
        <x:v>Комментарий:</x:v>
      </x:c>
      <x:c r="B68" s="344"/>
      <x:c r="C68" s="176" t="str">
        <x:f>IF(C66="","Выберите ответ.",IF(C66="A","Неверно. Эта причина не соответствует описанному признаку или условию. Правильный вариант: B.",IF(C66="B","Верно. Эта причина соответствует описанному признаку или условию.",IF(C66="C","Неверно. Эта причина не соответствует описанному признаку или условию. Правильный вариант: B.",IF(C66="D","Неверно. Эта причина не соответствует описанному признаку или условию. Правильный вариант: B.","Неверно. Ответ не распознан. Правильный вариант: B.")))))</x:f>
        <x:v>Выберите ответ.</x:v>
      </x:c>
      <x:c r="D68" s="177"/>
      <x:c r="E68" s="177"/>
      <x:c r="F68" s="177"/>
      <x:c r="G68" s="177"/>
      <x:c r="H68" s="178"/>
    </x:row>
    <x:row r="69" ht="30" customHeight="1">
      <x:c r="A69" s="345"/>
      <x:c r="B69" s="346"/>
      <x:c r="C69" s="179"/>
      <x:c r="D69" s="180"/>
      <x:c r="E69" s="180"/>
      <x:c r="F69" s="180"/>
      <x:c r="G69" s="180"/>
      <x:c r="H69" s="181"/>
    </x:row>
    <x:row r="71" ht="24" customHeight="1">
      <x:c r="A71" s="228" t="str">
        <x:v>Вопрос 6 из 25</x:v>
      </x:c>
      <x:c r="B71" s="228"/>
      <x:c r="C71" s="228"/>
      <x:c r="D71" s="228"/>
      <x:c r="E71" s="228"/>
      <x:c r="F71" s="228"/>
      <x:c r="G71" s="228"/>
      <x:c r="H71" s="228"/>
    </x:row>
    <x:row r="72" ht="34" customHeight="1">
      <x:c r="A72" s="243" t="str">
        <x:v>Появление газа при спуско-подъёмных операциях может означать, что:</x:v>
      </x:c>
      <x:c r="B72" s="244"/>
      <x:c r="C72" s="244"/>
      <x:c r="D72" s="244"/>
      <x:c r="E72" s="244"/>
      <x:c r="F72" s="244"/>
      <x:c r="G72" s="244"/>
      <x:c r="H72" s="245"/>
    </x:row>
    <x:row r="73" ht="34" customHeight="1">
      <x:c r="A73" s="246"/>
      <x:c r="B73" s="247"/>
      <x:c r="C73" s="247"/>
      <x:c r="D73" s="247"/>
      <x:c r="E73" s="247"/>
      <x:c r="F73" s="247"/>
      <x:c r="G73" s="247"/>
      <x:c r="H73" s="248"/>
    </x:row>
    <x:row r="74" ht="8" customHeight="1"/>
    <x:row r="75" ht="24" customHeight="1">
      <x:c r="A75" s="253" t="str">
        <x:v>A</x:v>
      </x:c>
      <x:c r="B75" s="99" t="str">
        <x:v>Плотность бурового раствора слишком велика.</x:v>
      </x:c>
      <x:c r="C75" s="100"/>
      <x:c r="D75" s="100"/>
      <x:c r="E75" s="100"/>
      <x:c r="F75" s="100"/>
      <x:c r="G75" s="100"/>
      <x:c r="H75" s="101"/>
    </x:row>
    <x:row r="76" ht="24" customHeight="1">
      <x:c r="A76" s="253" t="str">
        <x:v>B</x:v>
      </x:c>
      <x:c r="B76" s="99" t="str">
        <x:v>Вязкость бурового раствора слишком мала.</x:v>
      </x:c>
      <x:c r="C76" s="100"/>
      <x:c r="D76" s="100"/>
      <x:c r="E76" s="100"/>
      <x:c r="F76" s="100"/>
      <x:c r="G76" s="100"/>
      <x:c r="H76" s="101"/>
    </x:row>
    <x:row r="77" ht="24" customHeight="1">
      <x:c r="A77" s="253" t="str">
        <x:v>C</x:v>
      </x:c>
      <x:c r="B77" s="99" t="str">
        <x:v>Возможен эффект поршневания при СПО.</x:v>
      </x:c>
      <x:c r="C77" s="100"/>
      <x:c r="D77" s="100"/>
      <x:c r="E77" s="100"/>
      <x:c r="F77" s="100"/>
      <x:c r="G77" s="100"/>
      <x:c r="H77" s="101"/>
    </x:row>
    <x:row r="78" ht="24" customHeight="1">
      <x:c r="A78" s="253" t="str">
        <x:v>D</x:v>
      </x:c>
      <x:c r="B78" s="99" t="str">
        <x:v>Забиты насадки долота.</x:v>
      </x:c>
      <x:c r="C78" s="100"/>
      <x:c r="D78" s="100"/>
      <x:c r="E78" s="100"/>
      <x:c r="F78" s="100"/>
      <x:c r="G78" s="100"/>
      <x:c r="H78" s="101"/>
    </x:row>
    <x:row r="79" ht="8" customHeight="1"/>
    <x:row r="80" ht="28" customHeight="1">
      <x:c r="A80" s="258" t="str">
        <x:v>Ваш ответ:</x:v>
      </x:c>
      <x:c r="B80" s="259"/>
      <x:c r="C80" s="268"/>
      <x:c r="D80" s="269"/>
      <x:c r="E80" s="269"/>
      <x:c r="F80" s="269"/>
      <x:c r="G80" s="269"/>
      <x:c r="H80" s="270"/>
      <x:c r="Z80" t="n">
        <x:f>IF(C80="",0,IF(C80="C",1,0))</x:f>
        <x:v>0</x:v>
      </x:c>
      <x:c r="AA80" t="n">
        <x:f>IF(C80="",0,1)</x:f>
        <x:v>0</x:v>
      </x:c>
    </x:row>
    <x:row r="81" ht="8" customHeight="1"/>
    <x:row r="82" ht="30" customHeight="1">
      <x:c r="A82" s="343" t="str">
        <x:v>Комментарий:</x:v>
      </x:c>
      <x:c r="B82" s="344"/>
      <x:c r="C82" s="176" t="str">
        <x:f>IF(C80="","Выберите ответ.",IF(C80="A","Неверно. Этот вариант не соответствует ключу исходного теста. Правильный вариант: C.",IF(C80="B","Неверно. Этот вариант не соответствует ключу исходного теста. Правильный вариант: C.",IF(C80="C","Верно. Этот вариант соответствует ключу исходного теста.",IF(C80="D","Неверно.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82" s="177"/>
      <x:c r="E82" s="177"/>
      <x:c r="F82" s="177"/>
      <x:c r="G82" s="177"/>
      <x:c r="H82" s="178"/>
    </x:row>
    <x:row r="83" ht="30" customHeight="1">
      <x:c r="A83" s="345"/>
      <x:c r="B83" s="346"/>
      <x:c r="C83" s="179"/>
      <x:c r="D83" s="180"/>
      <x:c r="E83" s="180"/>
      <x:c r="F83" s="180"/>
      <x:c r="G83" s="180"/>
      <x:c r="H83" s="181"/>
    </x:row>
    <x:row r="85" ht="24" customHeight="1">
      <x:c r="A85" s="228" t="str">
        <x:v>Вопрос 7 из 25</x:v>
      </x:c>
      <x:c r="B85" s="228"/>
      <x:c r="C85" s="228"/>
      <x:c r="D85" s="228"/>
      <x:c r="E85" s="228"/>
      <x:c r="F85" s="228"/>
      <x:c r="G85" s="228"/>
      <x:c r="H85" s="228"/>
    </x:row>
    <x:row r="86" ht="34" customHeight="1">
      <x:c r="A86" s="243" t="str">
        <x:v>Какое оборудование или метод используется для наиболее точного долива скважины во время подъёма труб?</x:v>
      </x:c>
      <x:c r="B86" s="244"/>
      <x:c r="C86" s="244"/>
      <x:c r="D86" s="244"/>
      <x:c r="E86" s="244"/>
      <x:c r="F86" s="244"/>
      <x:c r="G86" s="244"/>
      <x:c r="H86" s="245"/>
    </x:row>
    <x:row r="87" ht="34" customHeight="1">
      <x:c r="A87" s="246"/>
      <x:c r="B87" s="247"/>
      <x:c r="C87" s="247"/>
      <x:c r="D87" s="247"/>
      <x:c r="E87" s="247"/>
      <x:c r="F87" s="247"/>
      <x:c r="G87" s="247"/>
      <x:c r="H87" s="248"/>
    </x:row>
    <x:row r="88" ht="8" customHeight="1"/>
    <x:row r="89" ht="24" customHeight="1">
      <x:c r="A89" s="253" t="str">
        <x:v>A</x:v>
      </x:c>
      <x:c r="B89" s="99" t="str">
        <x:v>Насос или счетчик числа ходов насоса.</x:v>
      </x:c>
      <x:c r="C89" s="100"/>
      <x:c r="D89" s="100"/>
      <x:c r="E89" s="100"/>
      <x:c r="F89" s="100"/>
      <x:c r="G89" s="100"/>
      <x:c r="H89" s="101"/>
    </x:row>
    <x:row r="90" ht="24" customHeight="1">
      <x:c r="A90" s="253" t="str">
        <x:v>B</x:v>
      </x:c>
      <x:c r="B90" s="99" t="str">
        <x:v>Постоянный долив с помощью доливной емкости.</x:v>
      </x:c>
      <x:c r="C90" s="100"/>
      <x:c r="D90" s="100"/>
      <x:c r="E90" s="100"/>
      <x:c r="F90" s="100"/>
      <x:c r="G90" s="100"/>
      <x:c r="H90" s="101"/>
    </x:row>
    <x:row r="91" ht="24" customHeight="1">
      <x:c r="A91" s="253" t="str">
        <x:v>C</x:v>
      </x:c>
      <x:c r="B91" s="99" t="str">
        <x:v>Центробежный насос.</x:v>
      </x:c>
      <x:c r="C91" s="100"/>
      <x:c r="D91" s="100"/>
      <x:c r="E91" s="100"/>
      <x:c r="F91" s="100"/>
      <x:c r="G91" s="100"/>
      <x:c r="H91" s="101"/>
    </x:row>
    <x:row r="92" ht="8" customHeight="1"/>
    <x:row r="93" ht="28" customHeight="1">
      <x:c r="A93" s="258" t="str">
        <x:v>Ваш ответ:</x:v>
      </x:c>
      <x:c r="B93" s="259"/>
      <x:c r="C93" s="268"/>
      <x:c r="D93" s="269"/>
      <x:c r="E93" s="269"/>
      <x:c r="F93" s="269"/>
      <x:c r="G93" s="269"/>
      <x:c r="H93" s="270"/>
      <x:c r="Z93" t="n">
        <x:f>IF(C93="",0,IF(C93="B",1,0))</x:f>
        <x:v>0</x:v>
      </x:c>
      <x:c r="AA93" t="n">
        <x:f>IF(C93="",0,1)</x:f>
        <x:v>0</x:v>
      </x:c>
    </x:row>
    <x:row r="94" ht="8" customHeight="1"/>
    <x:row r="95" ht="30" customHeight="1">
      <x:c r="A95" s="343" t="str">
        <x:v>Комментарий:</x:v>
      </x:c>
      <x:c r="B95" s="344"/>
      <x:c r="C95" s="176" t="str">
        <x:f>IF(C93="","Выберите ответ.",IF(C93="A","Неверно. Этот вариант не соответствует ключу исходного теста. Правильный вариант: B.",IF(C93="B","Верно. Этот вариант соответствует ключу исходного теста.",IF(C93="C","Неверно. Этот вариант не соответствует ключу исходного теста. Правильный вариант: B.","Неверно. Ответ не распознан. Правильный вариант: B."))))</x:f>
        <x:v>Выберите ответ.</x:v>
      </x:c>
      <x:c r="D95" s="177"/>
      <x:c r="E95" s="177"/>
      <x:c r="F95" s="177"/>
      <x:c r="G95" s="177"/>
      <x:c r="H95" s="178"/>
    </x:row>
    <x:row r="96" ht="30" customHeight="1">
      <x:c r="A96" s="345"/>
      <x:c r="B96" s="346"/>
      <x:c r="C96" s="179"/>
      <x:c r="D96" s="180"/>
      <x:c r="E96" s="180"/>
      <x:c r="F96" s="180"/>
      <x:c r="G96" s="180"/>
      <x:c r="H96" s="181"/>
    </x:row>
    <x:row r="98" ht="24" customHeight="1">
      <x:c r="A98" s="228" t="str">
        <x:v>Вопрос 8 из 25</x:v>
      </x:c>
      <x:c r="B98" s="228"/>
      <x:c r="C98" s="228"/>
      <x:c r="D98" s="228"/>
      <x:c r="E98" s="228"/>
      <x:c r="F98" s="228"/>
      <x:c r="G98" s="228"/>
      <x:c r="H98" s="228"/>
    </x:row>
    <x:row r="99" ht="34" customHeight="1">
      <x:c r="A99" s="243" t="str">
        <x:v>Чем характеризуется поглощение промывочной жидкости, называемое полным?</x:v>
      </x:c>
      <x:c r="B99" s="244"/>
      <x:c r="C99" s="244"/>
      <x:c r="D99" s="244"/>
      <x:c r="E99" s="244"/>
      <x:c r="F99" s="244"/>
      <x:c r="G99" s="244"/>
      <x:c r="H99" s="245"/>
    </x:row>
    <x:row r="100" ht="34" customHeight="1">
      <x:c r="A100" s="246"/>
      <x:c r="B100" s="247"/>
      <x:c r="C100" s="247"/>
      <x:c r="D100" s="247"/>
      <x:c r="E100" s="247"/>
      <x:c r="F100" s="247"/>
      <x:c r="G100" s="247"/>
      <x:c r="H100" s="248"/>
    </x:row>
    <x:row r="101" ht="8" customHeight="1"/>
    <x:row r="102" ht="24" customHeight="1">
      <x:c r="A102" s="253" t="str">
        <x:v>A</x:v>
      </x:c>
      <x:c r="B102" s="99" t="str">
        <x:v>Часть подаваемой промывочной жидкости возвращается на устье скважины.</x:v>
      </x:c>
      <x:c r="C102" s="100"/>
      <x:c r="D102" s="100"/>
      <x:c r="E102" s="100"/>
      <x:c r="F102" s="100"/>
      <x:c r="G102" s="100"/>
      <x:c r="H102" s="101"/>
    </x:row>
    <x:row r="103" ht="24" customHeight="1">
      <x:c r="A103" s="253" t="str">
        <x:v>B</x:v>
      </x:c>
      <x:c r="B103" s="99" t="str">
        <x:v>Вся закачиваемая промывочная жидкость растекается по трещинам, полостям породы.</x:v>
      </x:c>
      <x:c r="C103" s="100"/>
      <x:c r="D103" s="100"/>
      <x:c r="E103" s="100"/>
      <x:c r="F103" s="100"/>
      <x:c r="G103" s="100"/>
      <x:c r="H103" s="101"/>
    </x:row>
    <x:row r="104" ht="24" customHeight="1">
      <x:c r="A104" s="253" t="str">
        <x:v>C</x:v>
      </x:c>
      <x:c r="B104" s="99" t="str">
        <x:v>Жидкость не возвращается на устье скважины.</x:v>
      </x:c>
      <x:c r="C104" s="100"/>
      <x:c r="D104" s="100"/>
      <x:c r="E104" s="100"/>
      <x:c r="F104" s="100"/>
      <x:c r="G104" s="100"/>
      <x:c r="H104" s="101"/>
    </x:row>
    <x:row r="105" ht="8" customHeight="1"/>
    <x:row r="106" ht="28" customHeight="1">
      <x:c r="A106" s="258" t="str">
        <x:v>Ваш ответ:</x:v>
      </x:c>
      <x:c r="B106" s="259"/>
      <x:c r="C106" s="268"/>
      <x:c r="D106" s="269"/>
      <x:c r="E106" s="269"/>
      <x:c r="F106" s="269"/>
      <x:c r="G106" s="269"/>
      <x:c r="H106" s="270"/>
      <x:c r="Z106" t="n">
        <x:f>IF(C106="",0,IF(C106="C",1,0))</x:f>
        <x:v>0</x:v>
      </x:c>
      <x:c r="AA106" t="n">
        <x:f>IF(C106="",0,1)</x:f>
        <x:v>0</x:v>
      </x:c>
    </x:row>
    <x:row r="107" ht="8" customHeight="1"/>
    <x:row r="108" ht="30" customHeight="1">
      <x:c r="A108" s="343" t="str">
        <x:v>Комментарий:</x:v>
      </x:c>
      <x:c r="B108" s="344"/>
      <x:c r="C108" s="176" t="str">
        <x:f>IF(C106="","Выберите ответ.",IF(C106="A","Неверно. Этот вариант не соответствует ключу исходного теста. Правильный вариант: C.",IF(C106="B","Неверно. Этот вариант не соответствует ключу исходного теста. Правильный вариант: C.",IF(C106="C","Верно. Этот вариант соответствует ключу исходного теста.","Неверно. Ответ не распознан. Правильный вариант: C."))))</x:f>
        <x:v>Выберите ответ.</x:v>
      </x:c>
      <x:c r="D108" s="177"/>
      <x:c r="E108" s="177"/>
      <x:c r="F108" s="177"/>
      <x:c r="G108" s="177"/>
      <x:c r="H108" s="178"/>
    </x:row>
    <x:row r="109" ht="30" customHeight="1">
      <x:c r="A109" s="345"/>
      <x:c r="B109" s="346"/>
      <x:c r="C109" s="179"/>
      <x:c r="D109" s="180"/>
      <x:c r="E109" s="180"/>
      <x:c r="F109" s="180"/>
      <x:c r="G109" s="180"/>
      <x:c r="H109" s="181"/>
    </x:row>
    <x:row r="111" ht="24" customHeight="1">
      <x:c r="A111" s="228" t="str">
        <x:v>Вопрос 9 из 25</x:v>
      </x:c>
      <x:c r="B111" s="228"/>
      <x:c r="C111" s="228"/>
      <x:c r="D111" s="228"/>
      <x:c r="E111" s="228"/>
      <x:c r="F111" s="228"/>
      <x:c r="G111" s="228"/>
      <x:c r="H111" s="228"/>
    </x:row>
    <x:row r="112" ht="48" customHeight="1">
      <x:c r="A112" s="243" t="str">
        <x:v>Произошло ГНВП. Газовая пачка начала мигрировать в не закрытой скважине к устью в затрубном пространстве. Как будет изменяться объём газовой пачки?</x:v>
      </x:c>
      <x:c r="B112" s="244"/>
      <x:c r="C112" s="244"/>
      <x:c r="D112" s="244"/>
      <x:c r="E112" s="244"/>
      <x:c r="F112" s="244"/>
      <x:c r="G112" s="244"/>
      <x:c r="H112" s="245"/>
    </x:row>
    <x:row r="113" ht="48" customHeight="1">
      <x:c r="A113" s="246"/>
      <x:c r="B113" s="247"/>
      <x:c r="C113" s="247"/>
      <x:c r="D113" s="247"/>
      <x:c r="E113" s="247"/>
      <x:c r="F113" s="247"/>
      <x:c r="G113" s="247"/>
      <x:c r="H113" s="248"/>
    </x:row>
    <x:row r="114" ht="8" customHeight="1"/>
    <x:row r="115" ht="24" customHeight="1">
      <x:c r="A115" s="253" t="str">
        <x:v>A</x:v>
      </x:c>
      <x:c r="B115" s="99" t="str">
        <x:v>Увеличиваться.</x:v>
      </x:c>
      <x:c r="C115" s="100"/>
      <x:c r="D115" s="100"/>
      <x:c r="E115" s="100"/>
      <x:c r="F115" s="100"/>
      <x:c r="G115" s="100"/>
      <x:c r="H115" s="101"/>
    </x:row>
    <x:row r="116" ht="24" customHeight="1">
      <x:c r="A116" s="253" t="str">
        <x:v>B</x:v>
      </x:c>
      <x:c r="B116" s="99" t="str">
        <x:v>Уменьшаться.</x:v>
      </x:c>
      <x:c r="C116" s="100"/>
      <x:c r="D116" s="100"/>
      <x:c r="E116" s="100"/>
      <x:c r="F116" s="100"/>
      <x:c r="G116" s="100"/>
      <x:c r="H116" s="101"/>
    </x:row>
    <x:row r="117" ht="24" customHeight="1">
      <x:c r="A117" s="253" t="str">
        <x:v>C</x:v>
      </x:c>
      <x:c r="B117" s="99" t="str">
        <x:v>Не изменится.</x:v>
      </x:c>
      <x:c r="C117" s="100"/>
      <x:c r="D117" s="100"/>
      <x:c r="E117" s="100"/>
      <x:c r="F117" s="100"/>
      <x:c r="G117" s="100"/>
      <x:c r="H117" s="101"/>
    </x:row>
    <x:row r="118" ht="8" customHeight="1"/>
    <x:row r="119" ht="28" customHeight="1">
      <x:c r="A119" s="258" t="str">
        <x:v>Ваш ответ:</x:v>
      </x:c>
      <x:c r="B119" s="259"/>
      <x:c r="C119" s="268"/>
      <x:c r="D119" s="269"/>
      <x:c r="E119" s="269"/>
      <x:c r="F119" s="269"/>
      <x:c r="G119" s="269"/>
      <x:c r="H119" s="270"/>
      <x:c r="Z119" t="n">
        <x:f>IF(C119="",0,IF(C119="A",1,0))</x:f>
        <x:v>0</x:v>
      </x:c>
      <x:c r="AA119" t="n">
        <x:f>IF(C119="",0,1)</x:f>
        <x:v>0</x:v>
      </x:c>
    </x:row>
    <x:row r="120" ht="8" customHeight="1"/>
    <x:row r="121" ht="30" customHeight="1">
      <x:c r="A121" s="343" t="str">
        <x:v>Комментарий:</x:v>
      </x:c>
      <x:c r="B121" s="344"/>
      <x:c r="C121" s="176" t="str">
        <x:f>IF(C119="","Выберите ответ.",IF(C119="A","Верно. Направление изменения параметра соответствует процессу, указанному в исходном тесте.",IF(C119="B","Неверно. Направление изменения параметра указано неправильно. Правильный вариант: A.",IF(C119="C","Неверно. Направление изменения параметра указано неправильно. Правильный вариант: A.","Неверно. Ответ не распознан. Правильный вариант: A."))))</x:f>
        <x:v>Выберите ответ.</x:v>
      </x:c>
      <x:c r="D121" s="177"/>
      <x:c r="E121" s="177"/>
      <x:c r="F121" s="177"/>
      <x:c r="G121" s="177"/>
      <x:c r="H121" s="178"/>
    </x:row>
    <x:row r="122" ht="30" customHeight="1">
      <x:c r="A122" s="345"/>
      <x:c r="B122" s="346"/>
      <x:c r="C122" s="179"/>
      <x:c r="D122" s="180"/>
      <x:c r="E122" s="180"/>
      <x:c r="F122" s="180"/>
      <x:c r="G122" s="180"/>
      <x:c r="H122" s="181"/>
    </x:row>
    <x:row r="124" ht="24" customHeight="1">
      <x:c r="A124" s="228" t="str">
        <x:v>Вопрос 10 из 25</x:v>
      </x:c>
      <x:c r="B124" s="228"/>
      <x:c r="C124" s="228"/>
      <x:c r="D124" s="228"/>
      <x:c r="E124" s="228"/>
      <x:c r="F124" s="228"/>
      <x:c r="G124" s="228"/>
      <x:c r="H124" s="228"/>
    </x:row>
    <x:row r="125" ht="48" customHeight="1">
      <x:c r="A125" s="243" t="str">
        <x:v>Произошло ГНВП. Газовая пачка начала мигрировать в не закрытой скважине к устью в затрубном пространстве. Как будет изменяться давление в газовой пачке?</x:v>
      </x:c>
      <x:c r="B125" s="244"/>
      <x:c r="C125" s="244"/>
      <x:c r="D125" s="244"/>
      <x:c r="E125" s="244"/>
      <x:c r="F125" s="244"/>
      <x:c r="G125" s="244"/>
      <x:c r="H125" s="245"/>
    </x:row>
    <x:row r="126" ht="48" customHeight="1">
      <x:c r="A126" s="246"/>
      <x:c r="B126" s="247"/>
      <x:c r="C126" s="247"/>
      <x:c r="D126" s="247"/>
      <x:c r="E126" s="247"/>
      <x:c r="F126" s="247"/>
      <x:c r="G126" s="247"/>
      <x:c r="H126" s="248"/>
    </x:row>
    <x:row r="127" ht="8" customHeight="1"/>
    <x:row r="128" ht="24" customHeight="1">
      <x:c r="A128" s="253" t="str">
        <x:v>A</x:v>
      </x:c>
      <x:c r="B128" s="99" t="str">
        <x:v>Увеличиваться.</x:v>
      </x:c>
      <x:c r="C128" s="100"/>
      <x:c r="D128" s="100"/>
      <x:c r="E128" s="100"/>
      <x:c r="F128" s="100"/>
      <x:c r="G128" s="100"/>
      <x:c r="H128" s="101"/>
    </x:row>
    <x:row r="129" ht="24" customHeight="1">
      <x:c r="A129" s="253" t="str">
        <x:v>B</x:v>
      </x:c>
      <x:c r="B129" s="99" t="str">
        <x:v>Уменьшаться.</x:v>
      </x:c>
      <x:c r="C129" s="100"/>
      <x:c r="D129" s="100"/>
      <x:c r="E129" s="100"/>
      <x:c r="F129" s="100"/>
      <x:c r="G129" s="100"/>
      <x:c r="H129" s="101"/>
    </x:row>
    <x:row r="130" ht="24" customHeight="1">
      <x:c r="A130" s="253" t="str">
        <x:v>C</x:v>
      </x:c>
      <x:c r="B130" s="99" t="str">
        <x:v>Не изменится.</x:v>
      </x:c>
      <x:c r="C130" s="100"/>
      <x:c r="D130" s="100"/>
      <x:c r="E130" s="100"/>
      <x:c r="F130" s="100"/>
      <x:c r="G130" s="100"/>
      <x:c r="H130" s="101"/>
    </x:row>
    <x:row r="131" ht="8" customHeight="1"/>
    <x:row r="132" ht="28" customHeight="1">
      <x:c r="A132" s="258" t="str">
        <x:v>Ваш ответ:</x:v>
      </x:c>
      <x:c r="B132" s="259"/>
      <x:c r="C132" s="268"/>
      <x:c r="D132" s="269"/>
      <x:c r="E132" s="269"/>
      <x:c r="F132" s="269"/>
      <x:c r="G132" s="269"/>
      <x:c r="H132" s="270"/>
      <x:c r="Z132" t="n">
        <x:f>IF(C132="",0,IF(C132="B",1,0))</x:f>
        <x:v>0</x:v>
      </x:c>
      <x:c r="AA132" t="n">
        <x:f>IF(C132="",0,1)</x:f>
        <x:v>0</x:v>
      </x:c>
    </x:row>
    <x:row r="133" ht="8" customHeight="1"/>
    <x:row r="134" ht="30" customHeight="1">
      <x:c r="A134" s="343" t="str">
        <x:v>Комментарий:</x:v>
      </x:c>
      <x:c r="B134" s="344"/>
      <x:c r="C134" s="176" t="str">
        <x:f>IF(C132="","Выберите ответ.",IF(C132="A","Неверно. Направление изменения параметра указано неправильно. Правильный вариант: B.",IF(C132="B","Верно. Направление изменения параметра соответствует процессу, указанному в исходном тесте.",IF(C132="C","Неверно. Направление изменения параметра указано неправильно. Правильный вариант: B.","Неверно. Ответ не распознан. Правильный вариант: B."))))</x:f>
        <x:v>Выберите ответ.</x:v>
      </x:c>
      <x:c r="D134" s="177"/>
      <x:c r="E134" s="177"/>
      <x:c r="F134" s="177"/>
      <x:c r="G134" s="177"/>
      <x:c r="H134" s="178"/>
    </x:row>
    <x:row r="135" ht="30" customHeight="1">
      <x:c r="A135" s="345"/>
      <x:c r="B135" s="346"/>
      <x:c r="C135" s="179"/>
      <x:c r="D135" s="180"/>
      <x:c r="E135" s="180"/>
      <x:c r="F135" s="180"/>
      <x:c r="G135" s="180"/>
      <x:c r="H135" s="181"/>
    </x:row>
    <x:row r="137" ht="24" customHeight="1">
      <x:c r="A137" s="228" t="str">
        <x:v>Вопрос 11 из 25</x:v>
      </x:c>
      <x:c r="B137" s="228"/>
      <x:c r="C137" s="228"/>
      <x:c r="D137" s="228"/>
      <x:c r="E137" s="228"/>
      <x:c r="F137" s="228"/>
      <x:c r="G137" s="228"/>
      <x:c r="H137" s="228"/>
    </x:row>
    <x:row r="138" ht="48" customHeight="1">
      <x:c r="A138" s="243" t="str">
        <x:v>Произошло ГНВП. Скважину загерметизировали. Газовая пачка находится на забое. Определите под каким давлением находится газ в газовой пачке?</x:v>
      </x:c>
      <x:c r="B138" s="244"/>
      <x:c r="C138" s="244"/>
      <x:c r="D138" s="244"/>
      <x:c r="E138" s="244"/>
      <x:c r="F138" s="244"/>
      <x:c r="G138" s="244"/>
      <x:c r="H138" s="245"/>
    </x:row>
    <x:row r="139" ht="48" customHeight="1">
      <x:c r="A139" s="246"/>
      <x:c r="B139" s="247"/>
      <x:c r="C139" s="247"/>
      <x:c r="D139" s="247"/>
      <x:c r="E139" s="247"/>
      <x:c r="F139" s="247"/>
      <x:c r="G139" s="247"/>
      <x:c r="H139" s="248"/>
    </x:row>
    <x:row r="140" ht="8" customHeight="1"/>
    <x:row r="141" ht="24" customHeight="1">
      <x:c r="A141" s="253" t="str">
        <x:v>A</x:v>
      </x:c>
      <x:c r="B141" s="99" t="str">
        <x:v>Давление в пачке равно гидростатическому давлению столба бурового раствора.</x:v>
      </x:c>
      <x:c r="C141" s="100"/>
      <x:c r="D141" s="100"/>
      <x:c r="E141" s="100"/>
      <x:c r="F141" s="100"/>
      <x:c r="G141" s="100"/>
      <x:c r="H141" s="101"/>
    </x:row>
    <x:row r="142" ht="24" customHeight="1">
      <x:c r="A142" s="253" t="str">
        <x:v>B</x:v>
      </x:c>
      <x:c r="B142" s="99" t="str">
        <x:v>Давление в пачке равно забойному давлению до начала проявления.</x:v>
      </x:c>
      <x:c r="C142" s="100"/>
      <x:c r="D142" s="100"/>
      <x:c r="E142" s="100"/>
      <x:c r="F142" s="100"/>
      <x:c r="G142" s="100"/>
      <x:c r="H142" s="101"/>
    </x:row>
    <x:row r="143" ht="24" customHeight="1">
      <x:c r="A143" s="253" t="str">
        <x:v>C</x:v>
      </x:c>
      <x:c r="B143" s="99" t="str">
        <x:v>Давление в пачке равно пластовому давлению.</x:v>
      </x:c>
      <x:c r="C143" s="100"/>
      <x:c r="D143" s="100"/>
      <x:c r="E143" s="100"/>
      <x:c r="F143" s="100"/>
      <x:c r="G143" s="100"/>
      <x:c r="H143" s="101"/>
    </x:row>
    <x:row r="144" ht="8" customHeight="1"/>
    <x:row r="145" ht="28" customHeight="1">
      <x:c r="A145" s="258" t="str">
        <x:v>Ваш ответ:</x:v>
      </x:c>
      <x:c r="B145" s="259"/>
      <x:c r="C145" s="268"/>
      <x:c r="D145" s="269"/>
      <x:c r="E145" s="269"/>
      <x:c r="F145" s="269"/>
      <x:c r="G145" s="269"/>
      <x:c r="H145" s="270"/>
      <x:c r="Z145" t="n">
        <x:f>IF(C145="",0,IF(C145="C",1,0))</x:f>
        <x:v>0</x:v>
      </x:c>
      <x:c r="AA145" t="n">
        <x:f>IF(C145="",0,1)</x:f>
        <x:v>0</x:v>
      </x:c>
    </x:row>
    <x:row r="146" ht="8" customHeight="1"/>
    <x:row r="147" ht="30" customHeight="1">
      <x:c r="A147" s="343" t="str">
        <x:v>Комментарий:</x:v>
      </x:c>
      <x:c r="B147" s="344"/>
      <x:c r="C147" s="176" t="str">
        <x:f>IF(C145="","Выберите ответ.",IF(C145="A","Неверно. Указано другое нормативное значение или предел. Правильный вариант: C.",IF(C145="B","Неверно. Указано другое нормативное значение или предел. Правильный вариант: C.",IF(C145="C","Верно. Указано нормативное значение или предел, приведённый в исходном тесте.","Неверно. Ответ не распознан. Правильный вариант: C."))))</x:f>
        <x:v>Выберите ответ.</x:v>
      </x:c>
      <x:c r="D147" s="177"/>
      <x:c r="E147" s="177"/>
      <x:c r="F147" s="177"/>
      <x:c r="G147" s="177"/>
      <x:c r="H147" s="178"/>
    </x:row>
    <x:row r="148" ht="30" customHeight="1">
      <x:c r="A148" s="345"/>
      <x:c r="B148" s="346"/>
      <x:c r="C148" s="179"/>
      <x:c r="D148" s="180"/>
      <x:c r="E148" s="180"/>
      <x:c r="F148" s="180"/>
      <x:c r="G148" s="180"/>
      <x:c r="H148" s="181"/>
    </x:row>
    <x:row r="150" ht="24" customHeight="1">
      <x:c r="A150" s="228" t="str">
        <x:v>Вопрос 12 из 25</x:v>
      </x:c>
      <x:c r="B150" s="228"/>
      <x:c r="C150" s="228"/>
      <x:c r="D150" s="228"/>
      <x:c r="E150" s="228"/>
      <x:c r="F150" s="228"/>
      <x:c r="G150" s="228"/>
      <x:c r="H150" s="228"/>
    </x:row>
    <x:row r="151" ht="48" customHeight="1">
      <x:c r="A151" s="243" t="str">
        <x:v>Какие действия необходимо предпринять при бурении газоносного объекта, если при нормальной дегазации промывочной жидкости газосодержание в выходящем потоке опасно велико?</x:v>
      </x:c>
      <x:c r="B151" s="244"/>
      <x:c r="C151" s="244"/>
      <x:c r="D151" s="244"/>
      <x:c r="E151" s="244"/>
      <x:c r="F151" s="244"/>
      <x:c r="G151" s="244"/>
      <x:c r="H151" s="245"/>
    </x:row>
    <x:row r="152" ht="48" customHeight="1">
      <x:c r="A152" s="246"/>
      <x:c r="B152" s="247"/>
      <x:c r="C152" s="247"/>
      <x:c r="D152" s="247"/>
      <x:c r="E152" s="247"/>
      <x:c r="F152" s="247"/>
      <x:c r="G152" s="247"/>
      <x:c r="H152" s="248"/>
    </x:row>
    <x:row r="153" ht="8" customHeight="1"/>
    <x:row r="154" ht="24" customHeight="1">
      <x:c r="A154" s="253" t="str">
        <x:v>A</x:v>
      </x:c>
      <x:c r="B154" s="99" t="str">
        <x:v>Увеличить подачу промывочной жидкости.</x:v>
      </x:c>
      <x:c r="C154" s="100"/>
      <x:c r="D154" s="100"/>
      <x:c r="E154" s="100"/>
      <x:c r="F154" s="100"/>
      <x:c r="G154" s="100"/>
      <x:c r="H154" s="101"/>
    </x:row>
    <x:row r="155" ht="24" customHeight="1">
      <x:c r="A155" s="253" t="str">
        <x:v>B</x:v>
      </x:c>
      <x:c r="B155" s="99" t="str">
        <x:v>Открыть превентор.</x:v>
      </x:c>
      <x:c r="C155" s="100"/>
      <x:c r="D155" s="100"/>
      <x:c r="E155" s="100"/>
      <x:c r="F155" s="100"/>
      <x:c r="G155" s="100"/>
      <x:c r="H155" s="101"/>
    </x:row>
    <x:row r="156" ht="24" customHeight="1">
      <x:c r="A156" s="253" t="str">
        <x:v>C</x:v>
      </x:c>
      <x:c r="B156" s="99" t="str">
        <x:v>Снизить механическую скорость проходки.</x:v>
      </x:c>
      <x:c r="C156" s="100"/>
      <x:c r="D156" s="100"/>
      <x:c r="E156" s="100"/>
      <x:c r="F156" s="100"/>
      <x:c r="G156" s="100"/>
      <x:c r="H156" s="101"/>
    </x:row>
    <x:row r="157" ht="8" customHeight="1"/>
    <x:row r="158" ht="28" customHeight="1">
      <x:c r="A158" s="258" t="str">
        <x:v>Ваш ответ:</x:v>
      </x:c>
      <x:c r="B158" s="259"/>
      <x:c r="C158" s="268"/>
      <x:c r="D158" s="269"/>
      <x:c r="E158" s="269"/>
      <x:c r="F158" s="269"/>
      <x:c r="G158" s="269"/>
      <x:c r="H158" s="270"/>
      <x:c r="Z158" t="n">
        <x:f>IF(C158="",0,IF(C158="C",1,0))</x:f>
        <x:v>0</x:v>
      </x:c>
      <x:c r="AA158" t="n">
        <x:f>IF(C158="",0,1)</x:f>
        <x:v>0</x:v>
      </x:c>
    </x:row>
    <x:row r="159" ht="8" customHeight="1"/>
    <x:row r="160" ht="30" customHeight="1">
      <x:c r="A160" s="343" t="str">
        <x:v>Комментарий:</x:v>
      </x:c>
      <x:c r="B160" s="344"/>
      <x:c r="C160" s="176" t="str">
        <x:f>IF(C158="","Выберите ответ.",IF(C158="A","Неверно. Это действие не соответствует требуемому алгоритму. Правильный вариант: C.",IF(C158="B","Неверно. Это действие не соответствует требуемому алгоритму. Правильный вариант: C.",IF(C158="C","Верно. Выбранное действие соответствует алгоритму, принятому в исходном тесте.","Неверно. Ответ не распознан. Правильный вариант: C."))))</x:f>
        <x:v>Выберите ответ.</x:v>
      </x:c>
      <x:c r="D160" s="177"/>
      <x:c r="E160" s="177"/>
      <x:c r="F160" s="177"/>
      <x:c r="G160" s="177"/>
      <x:c r="H160" s="178"/>
    </x:row>
    <x:row r="161" ht="30" customHeight="1">
      <x:c r="A161" s="345"/>
      <x:c r="B161" s="346"/>
      <x:c r="C161" s="179"/>
      <x:c r="D161" s="180"/>
      <x:c r="E161" s="180"/>
      <x:c r="F161" s="180"/>
      <x:c r="G161" s="180"/>
      <x:c r="H161" s="181"/>
    </x:row>
    <x:row r="163" ht="24" customHeight="1">
      <x:c r="A163" s="228" t="str">
        <x:v>Вопрос 13 из 25</x:v>
      </x:c>
      <x:c r="B163" s="228"/>
      <x:c r="C163" s="228"/>
      <x:c r="D163" s="228"/>
      <x:c r="E163" s="228"/>
      <x:c r="F163" s="228"/>
      <x:c r="G163" s="228"/>
      <x:c r="H163" s="228"/>
    </x:row>
    <x:row r="164" ht="48" customHeight="1">
      <x:c r="A164" s="243" t="str">
        <x:v>Укажите причину технологического порядка, способную привести к отклонению ствола скважины от проектного положения (искривлению).</x:v>
      </x:c>
      <x:c r="B164" s="244"/>
      <x:c r="C164" s="244"/>
      <x:c r="D164" s="244"/>
      <x:c r="E164" s="244"/>
      <x:c r="F164" s="244"/>
      <x:c r="G164" s="244"/>
      <x:c r="H164" s="245"/>
    </x:row>
    <x:row r="165" ht="48" customHeight="1">
      <x:c r="A165" s="246"/>
      <x:c r="B165" s="247"/>
      <x:c r="C165" s="247"/>
      <x:c r="D165" s="247"/>
      <x:c r="E165" s="247"/>
      <x:c r="F165" s="247"/>
      <x:c r="G165" s="247"/>
      <x:c r="H165" s="248"/>
    </x:row>
    <x:row r="166" ht="8" customHeight="1"/>
    <x:row r="167" ht="24" customHeight="1">
      <x:c r="A167" s="253" t="str">
        <x:v>A</x:v>
      </x:c>
      <x:c r="B167" s="99" t="str">
        <x:v>Частое чередование пород с разными механическими характеристиками.</x:v>
      </x:c>
      <x:c r="C167" s="100"/>
      <x:c r="D167" s="100"/>
      <x:c r="E167" s="100"/>
      <x:c r="F167" s="100"/>
      <x:c r="G167" s="100"/>
      <x:c r="H167" s="101"/>
    </x:row>
    <x:row r="168" ht="24" customHeight="1">
      <x:c r="A168" s="253" t="str">
        <x:v>B</x:v>
      </x:c>
      <x:c r="B168" s="99" t="str">
        <x:v>Несоосность ствола скважины и стола ротора.</x:v>
      </x:c>
      <x:c r="C168" s="100"/>
      <x:c r="D168" s="100"/>
      <x:c r="E168" s="100"/>
      <x:c r="F168" s="100"/>
      <x:c r="G168" s="100"/>
      <x:c r="H168" s="101"/>
    </x:row>
    <x:row r="169" ht="24" customHeight="1">
      <x:c r="A169" s="253" t="str">
        <x:v>C</x:v>
      </x:c>
      <x:c r="B169" s="99" t="str">
        <x:v>Высокие нагрузки на долото, вызывающие продольный изгиб бурильной колонны.</x:v>
      </x:c>
      <x:c r="C169" s="100"/>
      <x:c r="D169" s="100"/>
      <x:c r="E169" s="100"/>
      <x:c r="F169" s="100"/>
      <x:c r="G169" s="100"/>
      <x:c r="H169" s="101"/>
    </x:row>
    <x:row r="170" ht="8" customHeight="1"/>
    <x:row r="171" ht="28" customHeight="1">
      <x:c r="A171" s="258" t="str">
        <x:v>Ваш ответ:</x:v>
      </x:c>
      <x:c r="B171" s="259"/>
      <x:c r="C171" s="268"/>
      <x:c r="D171" s="269"/>
      <x:c r="E171" s="269"/>
      <x:c r="F171" s="269"/>
      <x:c r="G171" s="269"/>
      <x:c r="H171" s="270"/>
      <x:c r="Z171" t="n">
        <x:f>IF(C171="",0,IF(C171="C",1,0))</x:f>
        <x:v>0</x:v>
      </x:c>
      <x:c r="AA171" t="n">
        <x:f>IF(C171="",0,1)</x:f>
        <x:v>0</x:v>
      </x:c>
    </x:row>
    <x:row r="172" ht="8" customHeight="1"/>
    <x:row r="173" ht="30" customHeight="1">
      <x:c r="A173" s="343" t="str">
        <x:v>Комментарий:</x:v>
      </x:c>
      <x:c r="B173" s="344"/>
      <x:c r="C173" s="176" t="str">
        <x:f>IF(C171="","Выберите ответ.",IF(C171="A","Неверно. Эта причина не соответствует описанному признаку или условию. Правильный вариант: C.",IF(C171="B","Неверно. Эта причина не соответствует описанному признаку или условию. Правильный вариант: C.",IF(C171="C","Верно. Эта причина соответствует описанному признаку или условию.","Неверно. Ответ не распознан. Правильный вариант: C."))))</x:f>
        <x:v>Выберите ответ.</x:v>
      </x:c>
      <x:c r="D173" s="177"/>
      <x:c r="E173" s="177"/>
      <x:c r="F173" s="177"/>
      <x:c r="G173" s="177"/>
      <x:c r="H173" s="178"/>
    </x:row>
    <x:row r="174" ht="30" customHeight="1">
      <x:c r="A174" s="345"/>
      <x:c r="B174" s="346"/>
      <x:c r="C174" s="179"/>
      <x:c r="D174" s="180"/>
      <x:c r="E174" s="180"/>
      <x:c r="F174" s="180"/>
      <x:c r="G174" s="180"/>
      <x:c r="H174" s="181"/>
    </x:row>
    <x:row r="176" ht="24" customHeight="1">
      <x:c r="A176" s="228" t="str">
        <x:v>Вопрос 14 из 25</x:v>
      </x:c>
      <x:c r="B176" s="228"/>
      <x:c r="C176" s="228"/>
      <x:c r="D176" s="228"/>
      <x:c r="E176" s="228"/>
      <x:c r="F176" s="228"/>
      <x:c r="G176" s="228"/>
      <x:c r="H176" s="228"/>
    </x:row>
    <x:row r="177" ht="34" customHeight="1">
      <x:c r="A177" s="243" t="str">
        <x:v>Какие мероприятия целесообразно осуществить в эксплуатационной скважине перед проведением в ней ГРП (гидроразрыва)?</x:v>
      </x:c>
      <x:c r="B177" s="244"/>
      <x:c r="C177" s="244"/>
      <x:c r="D177" s="244"/>
      <x:c r="E177" s="244"/>
      <x:c r="F177" s="244"/>
      <x:c r="G177" s="244"/>
      <x:c r="H177" s="245"/>
    </x:row>
    <x:row r="178" ht="34" customHeight="1">
      <x:c r="A178" s="246"/>
      <x:c r="B178" s="247"/>
      <x:c r="C178" s="247"/>
      <x:c r="D178" s="247"/>
      <x:c r="E178" s="247"/>
      <x:c r="F178" s="247"/>
      <x:c r="G178" s="247"/>
      <x:c r="H178" s="248"/>
    </x:row>
    <x:row r="179" ht="8" customHeight="1"/>
    <x:row r="180" ht="24" customHeight="1">
      <x:c r="A180" s="253" t="str">
        <x:v>A</x:v>
      </x:c>
      <x:c r="B180" s="99" t="str">
        <x:v>Остановить скважину на 5 суток для выравнивания температуры и давления в скважине в соответствии с глубиной.</x:v>
      </x:c>
      <x:c r="C180" s="100"/>
      <x:c r="D180" s="100"/>
      <x:c r="E180" s="100"/>
      <x:c r="F180" s="100"/>
      <x:c r="G180" s="100"/>
      <x:c r="H180" s="101"/>
    </x:row>
    <x:row r="181" ht="24" customHeight="1">
      <x:c r="A181" s="253" t="str">
        <x:v>B</x:v>
      </x:c>
      <x:c r="B181" s="99" t="str">
        <x:v>Установить максимально допустимый режим, с целью отбора наибольшего объема продукта.</x:v>
      </x:c>
      <x:c r="C181" s="100"/>
      <x:c r="D181" s="100"/>
      <x:c r="E181" s="100"/>
      <x:c r="F181" s="100"/>
      <x:c r="G181" s="100"/>
      <x:c r="H181" s="101"/>
    </x:row>
    <x:row r="182" ht="24" customHeight="1">
      <x:c r="A182" s="253" t="str">
        <x:v>C</x:v>
      </x:c>
      <x:c r="B182" s="99" t="str">
        <x:v>Промыть, подвергнуть соляно-кислотной обработке.</x:v>
      </x:c>
      <x:c r="C182" s="100"/>
      <x:c r="D182" s="100"/>
      <x:c r="E182" s="100"/>
      <x:c r="F182" s="100"/>
      <x:c r="G182" s="100"/>
      <x:c r="H182" s="101"/>
    </x:row>
    <x:row r="183" ht="8" customHeight="1"/>
    <x:row r="184" ht="28" customHeight="1">
      <x:c r="A184" s="258" t="str">
        <x:v>Ваш ответ:</x:v>
      </x:c>
      <x:c r="B184" s="259"/>
      <x:c r="C184" s="268"/>
      <x:c r="D184" s="269"/>
      <x:c r="E184" s="269"/>
      <x:c r="F184" s="269"/>
      <x:c r="G184" s="269"/>
      <x:c r="H184" s="270"/>
      <x:c r="Z184" t="n">
        <x:f>IF(C184="",0,IF(C184="C",1,0))</x:f>
        <x:v>0</x:v>
      </x:c>
      <x:c r="AA184" t="n">
        <x:f>IF(C184="",0,1)</x:f>
        <x:v>0</x:v>
      </x:c>
    </x:row>
    <x:row r="185" ht="8" customHeight="1"/>
    <x:row r="186" ht="30" customHeight="1">
      <x:c r="A186" s="343" t="str">
        <x:v>Комментарий:</x:v>
      </x:c>
      <x:c r="B186" s="344"/>
      <x:c r="C186" s="176" t="str">
        <x:f>IF(C184="","Выберите ответ.",IF(C184="A","Неверно. Этот вариант не соответствует ключу исходного теста. Правильный вариант: C.",IF(C184="B","Неверно. Этот вариант не соответствует ключу исходного теста. Правильный вариант: C.",IF(C184="C","Верно. Этот вариант соответствует ключу исходного теста.","Неверно. Ответ не распознан. Правильный вариант: C."))))</x:f>
        <x:v>Выберите ответ.</x:v>
      </x:c>
      <x:c r="D186" s="177"/>
      <x:c r="E186" s="177"/>
      <x:c r="F186" s="177"/>
      <x:c r="G186" s="177"/>
      <x:c r="H186" s="178"/>
    </x:row>
    <x:row r="187" ht="30" customHeight="1">
      <x:c r="A187" s="345"/>
      <x:c r="B187" s="346"/>
      <x:c r="C187" s="179"/>
      <x:c r="D187" s="180"/>
      <x:c r="E187" s="180"/>
      <x:c r="F187" s="180"/>
      <x:c r="G187" s="180"/>
      <x:c r="H187" s="181"/>
    </x:row>
    <x:row r="189" ht="24" customHeight="1">
      <x:c r="A189" s="228" t="str">
        <x:v>Вопрос 15 из 25</x:v>
      </x:c>
      <x:c r="B189" s="228"/>
      <x:c r="C189" s="228"/>
      <x:c r="D189" s="228"/>
      <x:c r="E189" s="228"/>
      <x:c r="F189" s="228"/>
      <x:c r="G189" s="228"/>
      <x:c r="H189" s="228"/>
    </x:row>
    <x:row r="190" ht="48" customHeight="1">
      <x:c r="A190" s="243" t="str">
        <x:v>Верно ли утверждение, что разность между давлением в трубном и затрубном пространствах пропорциональна объёму поступившего флюида?</x:v>
      </x:c>
      <x:c r="B190" s="244"/>
      <x:c r="C190" s="244"/>
      <x:c r="D190" s="244"/>
      <x:c r="E190" s="244"/>
      <x:c r="F190" s="244"/>
      <x:c r="G190" s="244"/>
      <x:c r="H190" s="245"/>
    </x:row>
    <x:row r="191" ht="48" customHeight="1">
      <x:c r="A191" s="246"/>
      <x:c r="B191" s="247"/>
      <x:c r="C191" s="247"/>
      <x:c r="D191" s="247"/>
      <x:c r="E191" s="247"/>
      <x:c r="F191" s="247"/>
      <x:c r="G191" s="247"/>
      <x:c r="H191" s="248"/>
    </x:row>
    <x:row r="192" ht="8" customHeight="1"/>
    <x:row r="193" ht="24" customHeight="1">
      <x:c r="A193" s="253" t="str">
        <x:v>A</x:v>
      </x:c>
      <x:c r="B193" s="99" t="str">
        <x:v>Верно.</x:v>
      </x:c>
      <x:c r="C193" s="100"/>
      <x:c r="D193" s="100"/>
      <x:c r="E193" s="100"/>
      <x:c r="F193" s="100"/>
      <x:c r="G193" s="100"/>
      <x:c r="H193" s="101"/>
    </x:row>
    <x:row r="194" ht="24" customHeight="1">
      <x:c r="A194" s="253" t="str">
        <x:v>B</x:v>
      </x:c>
      <x:c r="B194" s="99" t="str">
        <x:v>Не верно.</x:v>
      </x:c>
      <x:c r="C194" s="100"/>
      <x:c r="D194" s="100"/>
      <x:c r="E194" s="100"/>
      <x:c r="F194" s="100"/>
      <x:c r="G194" s="100"/>
      <x:c r="H194" s="101"/>
    </x:row>
    <x:row r="195" ht="8" customHeight="1"/>
    <x:row r="196" ht="28" customHeight="1">
      <x:c r="A196" s="258" t="str">
        <x:v>Ваш ответ:</x:v>
      </x:c>
      <x:c r="B196" s="259"/>
      <x:c r="C196" s="268"/>
      <x:c r="D196" s="269"/>
      <x:c r="E196" s="269"/>
      <x:c r="F196" s="269"/>
      <x:c r="G196" s="269"/>
      <x:c r="H196" s="270"/>
      <x:c r="Z196" t="n">
        <x:f>IF(C196="",0,IF(C196="A",1,0))</x:f>
        <x:v>0</x:v>
      </x:c>
      <x:c r="AA196" t="n">
        <x:f>IF(C196="",0,1)</x:f>
        <x:v>0</x:v>
      </x:c>
    </x:row>
    <x:row r="197" ht="8" customHeight="1"/>
    <x:row r="198" ht="30" customHeight="1">
      <x:c r="A198" s="343" t="str">
        <x:v>Комментарий:</x:v>
      </x:c>
      <x:c r="B198" s="344"/>
      <x:c r="C198" s="176" t="str">
        <x:f>IF(C196="","Выберите ответ.",IF(C196="A","Верно. Утверждение соответствует ключу исходного теста.",IF(C196="B","Неверно. Вариант содержит лишнее условие, которого нет в правильной формулировке. Правильный вариант: A.","Неверно. Ответ не распознан. Правильный вариант: A.")))</x:f>
        <x:v>Выберите ответ.</x:v>
      </x:c>
      <x:c r="D198" s="177"/>
      <x:c r="E198" s="177"/>
      <x:c r="F198" s="177"/>
      <x:c r="G198" s="177"/>
      <x:c r="H198" s="178"/>
    </x:row>
    <x:row r="199" ht="30" customHeight="1">
      <x:c r="A199" s="345"/>
      <x:c r="B199" s="346"/>
      <x:c r="C199" s="179"/>
      <x:c r="D199" s="180"/>
      <x:c r="E199" s="180"/>
      <x:c r="F199" s="180"/>
      <x:c r="G199" s="180"/>
      <x:c r="H199" s="181"/>
    </x:row>
    <x:row r="201" ht="24" customHeight="1">
      <x:c r="A201" s="228" t="str">
        <x:v>Вопрос 16 из 25</x:v>
      </x:c>
      <x:c r="B201" s="228"/>
      <x:c r="C201" s="228"/>
      <x:c r="D201" s="228"/>
      <x:c r="E201" s="228"/>
      <x:c r="F201" s="228"/>
      <x:c r="G201" s="228"/>
      <x:c r="H201" s="228"/>
    </x:row>
    <x:row r="202" ht="48" customHeight="1">
      <x:c r="A202" s="243" t="str">
        <x:v>Произошло ГНВП. Скважину загерметизировали. Газовая пачка начала мигрировать к устью в затрубном пространстве. Как будет изменяться избыточное давление в трубном пространстве?</x:v>
      </x:c>
      <x:c r="B202" s="244"/>
      <x:c r="C202" s="244"/>
      <x:c r="D202" s="244"/>
      <x:c r="E202" s="244"/>
      <x:c r="F202" s="244"/>
      <x:c r="G202" s="244"/>
      <x:c r="H202" s="245"/>
    </x:row>
    <x:row r="203" ht="48" customHeight="1">
      <x:c r="A203" s="246"/>
      <x:c r="B203" s="247"/>
      <x:c r="C203" s="247"/>
      <x:c r="D203" s="247"/>
      <x:c r="E203" s="247"/>
      <x:c r="F203" s="247"/>
      <x:c r="G203" s="247"/>
      <x:c r="H203" s="248"/>
    </x:row>
    <x:row r="204" ht="8" customHeight="1"/>
    <x:row r="205" ht="24" customHeight="1">
      <x:c r="A205" s="253" t="str">
        <x:v>A</x:v>
      </x:c>
      <x:c r="B205" s="99" t="str">
        <x:v>Увеличиваться.</x:v>
      </x:c>
      <x:c r="C205" s="100"/>
      <x:c r="D205" s="100"/>
      <x:c r="E205" s="100"/>
      <x:c r="F205" s="100"/>
      <x:c r="G205" s="100"/>
      <x:c r="H205" s="101"/>
    </x:row>
    <x:row r="206" ht="24" customHeight="1">
      <x:c r="A206" s="253" t="str">
        <x:v>B</x:v>
      </x:c>
      <x:c r="B206" s="99" t="str">
        <x:v>Уменьшаться.</x:v>
      </x:c>
      <x:c r="C206" s="100"/>
      <x:c r="D206" s="100"/>
      <x:c r="E206" s="100"/>
      <x:c r="F206" s="100"/>
      <x:c r="G206" s="100"/>
      <x:c r="H206" s="101"/>
    </x:row>
    <x:row r="207" ht="24" customHeight="1">
      <x:c r="A207" s="253" t="str">
        <x:v>C</x:v>
      </x:c>
      <x:c r="B207" s="99" t="str">
        <x:v>Не изменится.</x:v>
      </x:c>
      <x:c r="C207" s="100"/>
      <x:c r="D207" s="100"/>
      <x:c r="E207" s="100"/>
      <x:c r="F207" s="100"/>
      <x:c r="G207" s="100"/>
      <x:c r="H207" s="101"/>
    </x:row>
    <x:row r="208" ht="8" customHeight="1"/>
    <x:row r="209" ht="28" customHeight="1">
      <x:c r="A209" s="258" t="str">
        <x:v>Ваш ответ:</x:v>
      </x:c>
      <x:c r="B209" s="259"/>
      <x:c r="C209" s="268"/>
      <x:c r="D209" s="269"/>
      <x:c r="E209" s="269"/>
      <x:c r="F209" s="269"/>
      <x:c r="G209" s="269"/>
      <x:c r="H209" s="270"/>
      <x:c r="Z209" t="n">
        <x:f>IF(C209="",0,IF(C209="A",1,0))</x:f>
        <x:v>0</x:v>
      </x:c>
      <x:c r="AA209" t="n">
        <x:f>IF(C209="",0,1)</x:f>
        <x:v>0</x:v>
      </x:c>
    </x:row>
    <x:row r="210" ht="8" customHeight="1"/>
    <x:row r="211" ht="30" customHeight="1">
      <x:c r="A211" s="343" t="str">
        <x:v>Комментарий:</x:v>
      </x:c>
      <x:c r="B211" s="344"/>
      <x:c r="C211" s="176" t="str">
        <x:f>IF(C209="","Выберите ответ.",IF(C209="A","Верно. Направление изменения параметра соответствует процессу, указанному в исходном тесте.",IF(C209="B","Неверно. Направление изменения параметра указано неправильно. Правильный вариант: A.",IF(C209="C","Неверно. Направление изменения параметра указано неправильно. Правильный вариант: A.","Неверно. Ответ не распознан. Правильный вариант: A."))))</x:f>
        <x:v>Выберите ответ.</x:v>
      </x:c>
      <x:c r="D211" s="177"/>
      <x:c r="E211" s="177"/>
      <x:c r="F211" s="177"/>
      <x:c r="G211" s="177"/>
      <x:c r="H211" s="178"/>
    </x:row>
    <x:row r="212" ht="30" customHeight="1">
      <x:c r="A212" s="345"/>
      <x:c r="B212" s="346"/>
      <x:c r="C212" s="179"/>
      <x:c r="D212" s="180"/>
      <x:c r="E212" s="180"/>
      <x:c r="F212" s="180"/>
      <x:c r="G212" s="180"/>
      <x:c r="H212" s="181"/>
    </x:row>
    <x:row r="214" ht="24" customHeight="1">
      <x:c r="A214" s="228" t="str">
        <x:v>Вопрос 17 из 25</x:v>
      </x:c>
      <x:c r="B214" s="228"/>
      <x:c r="C214" s="228"/>
      <x:c r="D214" s="228"/>
      <x:c r="E214" s="228"/>
      <x:c r="F214" s="228"/>
      <x:c r="G214" s="228"/>
      <x:c r="H214" s="228"/>
    </x:row>
    <x:row r="215" ht="48" customHeight="1">
      <x:c r="A215" s="243" t="str">
        <x:v>Назовите специализированное дочернее общество ПАО «Газпром», специализирующееся на предупреждении и ликвидации открытых фонтанов на скважинах.</x:v>
      </x:c>
      <x:c r="B215" s="244"/>
      <x:c r="C215" s="244"/>
      <x:c r="D215" s="244"/>
      <x:c r="E215" s="244"/>
      <x:c r="F215" s="244"/>
      <x:c r="G215" s="244"/>
      <x:c r="H215" s="245"/>
    </x:row>
    <x:row r="216" ht="48" customHeight="1">
      <x:c r="A216" s="246"/>
      <x:c r="B216" s="247"/>
      <x:c r="C216" s="247"/>
      <x:c r="D216" s="247"/>
      <x:c r="E216" s="247"/>
      <x:c r="F216" s="247"/>
      <x:c r="G216" s="247"/>
      <x:c r="H216" s="248"/>
    </x:row>
    <x:row r="217" ht="8" customHeight="1"/>
    <x:row r="218" ht="24" customHeight="1">
      <x:c r="A218" s="253" t="str">
        <x:v>A</x:v>
      </x:c>
      <x:c r="B218" s="99" t="str">
        <x:v>ООО «Газпром газобезопасность».</x:v>
      </x:c>
      <x:c r="C218" s="100"/>
      <x:c r="D218" s="100"/>
      <x:c r="E218" s="100"/>
      <x:c r="F218" s="100"/>
      <x:c r="G218" s="100"/>
      <x:c r="H218" s="101"/>
    </x:row>
    <x:row r="219" ht="24" customHeight="1">
      <x:c r="A219" s="253" t="str">
        <x:v>B</x:v>
      </x:c>
      <x:c r="B219" s="99" t="str">
        <x:v>ООО «Газпром газнадзор».</x:v>
      </x:c>
      <x:c r="C219" s="100"/>
      <x:c r="D219" s="100"/>
      <x:c r="E219" s="100"/>
      <x:c r="F219" s="100"/>
      <x:c r="G219" s="100"/>
      <x:c r="H219" s="101"/>
    </x:row>
    <x:row r="220" ht="24" customHeight="1">
      <x:c r="A220" s="253" t="str">
        <x:v>C</x:v>
      </x:c>
      <x:c r="B220" s="99" t="str">
        <x:v>ООО «Газпром ПХГ».</x:v>
      </x:c>
      <x:c r="C220" s="100"/>
      <x:c r="D220" s="100"/>
      <x:c r="E220" s="100"/>
      <x:c r="F220" s="100"/>
      <x:c r="G220" s="100"/>
      <x:c r="H220" s="101"/>
    </x:row>
    <x:row r="221" ht="8" customHeight="1"/>
    <x:row r="222" ht="28" customHeight="1">
      <x:c r="A222" s="258" t="str">
        <x:v>Ваш ответ:</x:v>
      </x:c>
      <x:c r="B222" s="259"/>
      <x:c r="C222" s="268"/>
      <x:c r="D222" s="269"/>
      <x:c r="E222" s="269"/>
      <x:c r="F222" s="269"/>
      <x:c r="G222" s="269"/>
      <x:c r="H222" s="270"/>
      <x:c r="Z222" t="n">
        <x:f>IF(C222="",0,IF(C222="A",1,0))</x:f>
        <x:v>0</x:v>
      </x:c>
      <x:c r="AA222" t="n">
        <x:f>IF(C222="",0,1)</x:f>
        <x:v>0</x:v>
      </x:c>
    </x:row>
    <x:row r="223" ht="8" customHeight="1"/>
    <x:row r="224" ht="30" customHeight="1">
      <x:c r="A224" s="343" t="str">
        <x:v>Комментарий:</x:v>
      </x:c>
      <x:c r="B224" s="344"/>
      <x:c r="C224" s="176" t="str">
        <x:f>IF(C222="","Выберите ответ.",IF(C222="A","Верно. Этот вариант соответствует ключу исходного теста.",IF(C222="B","Неверно. Этот вариант не соответствует ключу исходного теста. Правильный вариант: A.",IF(C222="C","Неверно. Этот вариант не соответствует ключу исходного теста. Правильный вариант: A.","Неверно. Ответ не распознан. Правильный вариант: A."))))</x:f>
        <x:v>Выберите ответ.</x:v>
      </x:c>
      <x:c r="D224" s="177"/>
      <x:c r="E224" s="177"/>
      <x:c r="F224" s="177"/>
      <x:c r="G224" s="177"/>
      <x:c r="H224" s="178"/>
    </x:row>
    <x:row r="225" ht="30" customHeight="1">
      <x:c r="A225" s="345"/>
      <x:c r="B225" s="346"/>
      <x:c r="C225" s="179"/>
      <x:c r="D225" s="180"/>
      <x:c r="E225" s="180"/>
      <x:c r="F225" s="180"/>
      <x:c r="G225" s="180"/>
      <x:c r="H225" s="181"/>
    </x:row>
    <x:row r="227" ht="24" customHeight="1">
      <x:c r="A227" s="228" t="str">
        <x:v>Вопрос 18 из 25</x:v>
      </x:c>
      <x:c r="B227" s="228"/>
      <x:c r="C227" s="228"/>
      <x:c r="D227" s="228"/>
      <x:c r="E227" s="228"/>
      <x:c r="F227" s="228"/>
      <x:c r="G227" s="228"/>
      <x:c r="H227" s="228"/>
    </x:row>
    <x:row r="228" ht="62" customHeight="1">
      <x:c r="A228" s="243" t="str">
        <x:v>Произошло ГНВП. Скважину загерметизировали. Газовая пачка начала мигрировать к устью в затрубном пространстве. Как будут изменяться избыточное давление в затрубном пространстве и избыточное давление в трубном пространстве ниже «хвоста» газовой пачки?</x:v>
      </x:c>
      <x:c r="B228" s="244"/>
      <x:c r="C228" s="244"/>
      <x:c r="D228" s="244"/>
      <x:c r="E228" s="244"/>
      <x:c r="F228" s="244"/>
      <x:c r="G228" s="244"/>
      <x:c r="H228" s="245"/>
    </x:row>
    <x:row r="229" ht="62" customHeight="1">
      <x:c r="A229" s="246"/>
      <x:c r="B229" s="247"/>
      <x:c r="C229" s="247"/>
      <x:c r="D229" s="247"/>
      <x:c r="E229" s="247"/>
      <x:c r="F229" s="247"/>
      <x:c r="G229" s="247"/>
      <x:c r="H229" s="248"/>
    </x:row>
    <x:row r="230" ht="8" customHeight="1"/>
    <x:row r="231" ht="24" customHeight="1">
      <x:c r="A231" s="253" t="str">
        <x:v>A</x:v>
      </x:c>
      <x:c r="B231" s="99" t="str">
        <x:v>Давление в затрубном пространстве будет расти быстрее.</x:v>
      </x:c>
      <x:c r="C231" s="100"/>
      <x:c r="D231" s="100"/>
      <x:c r="E231" s="100"/>
      <x:c r="F231" s="100"/>
      <x:c r="G231" s="100"/>
      <x:c r="H231" s="101"/>
    </x:row>
    <x:row r="232" ht="24" customHeight="1">
      <x:c r="A232" s="253" t="str">
        <x:v>B</x:v>
      </x:c>
      <x:c r="B232" s="99" t="str">
        <x:v>Давление в трубном пространстве будет расти быстрее.</x:v>
      </x:c>
      <x:c r="C232" s="100"/>
      <x:c r="D232" s="100"/>
      <x:c r="E232" s="100"/>
      <x:c r="F232" s="100"/>
      <x:c r="G232" s="100"/>
      <x:c r="H232" s="101"/>
    </x:row>
    <x:row r="233" ht="24" customHeight="1">
      <x:c r="A233" s="253" t="str">
        <x:v>C</x:v>
      </x:c>
      <x:c r="B233" s="99" t="str">
        <x:v>Будут расти одинаково.</x:v>
      </x:c>
      <x:c r="C233" s="100"/>
      <x:c r="D233" s="100"/>
      <x:c r="E233" s="100"/>
      <x:c r="F233" s="100"/>
      <x:c r="G233" s="100"/>
      <x:c r="H233" s="101"/>
    </x:row>
    <x:row r="234" ht="8" customHeight="1"/>
    <x:row r="235" ht="28" customHeight="1">
      <x:c r="A235" s="258" t="str">
        <x:v>Ваш ответ:</x:v>
      </x:c>
      <x:c r="B235" s="259"/>
      <x:c r="C235" s="268"/>
      <x:c r="D235" s="269"/>
      <x:c r="E235" s="269"/>
      <x:c r="F235" s="269"/>
      <x:c r="G235" s="269"/>
      <x:c r="H235" s="270"/>
      <x:c r="Z235" t="n">
        <x:f>IF(C235="",0,IF(C235="C",1,0))</x:f>
        <x:v>0</x:v>
      </x:c>
      <x:c r="AA235" t="n">
        <x:f>IF(C235="",0,1)</x:f>
        <x:v>0</x:v>
      </x:c>
    </x:row>
    <x:row r="236" ht="8" customHeight="1"/>
    <x:row r="237" ht="30" customHeight="1">
      <x:c r="A237" s="343" t="str">
        <x:v>Комментарий:</x:v>
      </x:c>
      <x:c r="B237" s="344"/>
      <x:c r="C237" s="176" t="str">
        <x:f>IF(C235="","Выберите ответ.",IF(C235="A","Неверно. Этот вариант не соответствует ключу исходного теста. Правильный вариант: C.",IF(C235="B","Неверно. Этот вариант не соответствует ключу исходного теста. Правильный вариант: C.",IF(C235="C","Верно. Этот вариант соответствует ключу исходного теста.","Неверно. Ответ не распознан. Правильный вариант: C."))))</x:f>
        <x:v>Выберите ответ.</x:v>
      </x:c>
      <x:c r="D237" s="177"/>
      <x:c r="E237" s="177"/>
      <x:c r="F237" s="177"/>
      <x:c r="G237" s="177"/>
      <x:c r="H237" s="178"/>
    </x:row>
    <x:row r="238" ht="30" customHeight="1">
      <x:c r="A238" s="345"/>
      <x:c r="B238" s="346"/>
      <x:c r="C238" s="179"/>
      <x:c r="D238" s="180"/>
      <x:c r="E238" s="180"/>
      <x:c r="F238" s="180"/>
      <x:c r="G238" s="180"/>
      <x:c r="H238" s="181"/>
    </x:row>
    <x:row r="240" ht="24" customHeight="1">
      <x:c r="A240" s="228" t="str">
        <x:v>Вопрос 19 из 25</x:v>
      </x:c>
      <x:c r="B240" s="228"/>
      <x:c r="C240" s="228"/>
      <x:c r="D240" s="228"/>
      <x:c r="E240" s="228"/>
      <x:c r="F240" s="228"/>
      <x:c r="G240" s="228"/>
      <x:c r="H240" s="228"/>
    </x:row>
    <x:row r="241" ht="48" customHeight="1">
      <x:c r="A241" s="243" t="str">
        <x:v>Произошло ГНВП. Скважину загерметизировали. Газовая пачка начала мигрировать к устью в затрубном пространстве. Как будет изменяться забойное давление?</x:v>
      </x:c>
      <x:c r="B241" s="244"/>
      <x:c r="C241" s="244"/>
      <x:c r="D241" s="244"/>
      <x:c r="E241" s="244"/>
      <x:c r="F241" s="244"/>
      <x:c r="G241" s="244"/>
      <x:c r="H241" s="245"/>
    </x:row>
    <x:row r="242" ht="48" customHeight="1">
      <x:c r="A242" s="246"/>
      <x:c r="B242" s="247"/>
      <x:c r="C242" s="247"/>
      <x:c r="D242" s="247"/>
      <x:c r="E242" s="247"/>
      <x:c r="F242" s="247"/>
      <x:c r="G242" s="247"/>
      <x:c r="H242" s="248"/>
    </x:row>
    <x:row r="243" ht="8" customHeight="1"/>
    <x:row r="244" ht="24" customHeight="1">
      <x:c r="A244" s="253" t="str">
        <x:v>A</x:v>
      </x:c>
      <x:c r="B244" s="99" t="str">
        <x:v>Увеличиваться.</x:v>
      </x:c>
      <x:c r="C244" s="100"/>
      <x:c r="D244" s="100"/>
      <x:c r="E244" s="100"/>
      <x:c r="F244" s="100"/>
      <x:c r="G244" s="100"/>
      <x:c r="H244" s="101"/>
    </x:row>
    <x:row r="245" ht="24" customHeight="1">
      <x:c r="A245" s="253" t="str">
        <x:v>B</x:v>
      </x:c>
      <x:c r="B245" s="99" t="str">
        <x:v>Уменьшаться.</x:v>
      </x:c>
      <x:c r="C245" s="100"/>
      <x:c r="D245" s="100"/>
      <x:c r="E245" s="100"/>
      <x:c r="F245" s="100"/>
      <x:c r="G245" s="100"/>
      <x:c r="H245" s="101"/>
    </x:row>
    <x:row r="246" ht="24" customHeight="1">
      <x:c r="A246" s="253" t="str">
        <x:v>C</x:v>
      </x:c>
      <x:c r="B246" s="99" t="str">
        <x:v>Оставаться неизменным.</x:v>
      </x:c>
      <x:c r="C246" s="100"/>
      <x:c r="D246" s="100"/>
      <x:c r="E246" s="100"/>
      <x:c r="F246" s="100"/>
      <x:c r="G246" s="100"/>
      <x:c r="H246" s="101"/>
    </x:row>
    <x:row r="247" ht="8" customHeight="1"/>
    <x:row r="248" ht="28" customHeight="1">
      <x:c r="A248" s="258" t="str">
        <x:v>Ваш ответ:</x:v>
      </x:c>
      <x:c r="B248" s="259"/>
      <x:c r="C248" s="268"/>
      <x:c r="D248" s="269"/>
      <x:c r="E248" s="269"/>
      <x:c r="F248" s="269"/>
      <x:c r="G248" s="269"/>
      <x:c r="H248" s="270"/>
      <x:c r="Z248" t="n">
        <x:f>IF(C248="",0,IF(C248="A",1,0))</x:f>
        <x:v>0</x:v>
      </x:c>
      <x:c r="AA248" t="n">
        <x:f>IF(C248="",0,1)</x:f>
        <x:v>0</x:v>
      </x:c>
    </x:row>
    <x:row r="249" ht="8" customHeight="1"/>
    <x:row r="250" ht="30" customHeight="1">
      <x:c r="A250" s="343" t="str">
        <x:v>Комментарий:</x:v>
      </x:c>
      <x:c r="B250" s="344"/>
      <x:c r="C250" s="176" t="str">
        <x:f>IF(C248="","Выберите ответ.",IF(C248="A","Верно. Направление изменения параметра соответствует процессу, указанному в исходном тесте.",IF(C248="B","Неверно. Направление изменения параметра указано неправильно. Правильный вариант: A.",IF(C248="C","Неверно. Направление изменения параметра указано неправильно. Правильный вариант: A.","Неверно. Ответ не распознан. Правильный вариант: A."))))</x:f>
        <x:v>Выберите ответ.</x:v>
      </x:c>
      <x:c r="D250" s="177"/>
      <x:c r="E250" s="177"/>
      <x:c r="F250" s="177"/>
      <x:c r="G250" s="177"/>
      <x:c r="H250" s="178"/>
    </x:row>
    <x:row r="251" ht="30" customHeight="1">
      <x:c r="A251" s="345"/>
      <x:c r="B251" s="346"/>
      <x:c r="C251" s="179"/>
      <x:c r="D251" s="180"/>
      <x:c r="E251" s="180"/>
      <x:c r="F251" s="180"/>
      <x:c r="G251" s="180"/>
      <x:c r="H251" s="181"/>
    </x:row>
    <x:row r="253" ht="24" customHeight="1">
      <x:c r="A253" s="228" t="str">
        <x:v>Вопрос 20 из 25</x:v>
      </x:c>
      <x:c r="B253" s="228"/>
      <x:c r="C253" s="228"/>
      <x:c r="D253" s="228"/>
      <x:c r="E253" s="228"/>
      <x:c r="F253" s="228"/>
      <x:c r="G253" s="228"/>
      <x:c r="H253" s="228"/>
    </x:row>
    <x:row r="254" ht="62" customHeight="1">
      <x:c r="A254" s="243" t="str">
        <x:v>Произошло ГНВП, приток — газ в объёме 4,8 м³. Газовый градиент 0,026 атм/м. Избыточное давление в бурильных трубах 24 атм. Газ начал мигрировать в закрытой скважине. Решено стравливать раствор, поддерживая давление в бурильных трубах равным 24 атм. Что будет с давлением в газовой пачке?</x:v>
      </x:c>
      <x:c r="B254" s="244"/>
      <x:c r="C254" s="244"/>
      <x:c r="D254" s="244"/>
      <x:c r="E254" s="244"/>
      <x:c r="F254" s="244"/>
      <x:c r="G254" s="244"/>
      <x:c r="H254" s="245"/>
    </x:row>
    <x:row r="255" ht="62" customHeight="1">
      <x:c r="A255" s="246"/>
      <x:c r="B255" s="247"/>
      <x:c r="C255" s="247"/>
      <x:c r="D255" s="247"/>
      <x:c r="E255" s="247"/>
      <x:c r="F255" s="247"/>
      <x:c r="G255" s="247"/>
      <x:c r="H255" s="248"/>
    </x:row>
    <x:row r="256" ht="8" customHeight="1"/>
    <x:row r="257" ht="24" customHeight="1">
      <x:c r="A257" s="253" t="str">
        <x:v>A</x:v>
      </x:c>
      <x:c r="B257" s="99" t="str">
        <x:v>Увеличиваться.</x:v>
      </x:c>
      <x:c r="C257" s="100"/>
      <x:c r="D257" s="100"/>
      <x:c r="E257" s="100"/>
      <x:c r="F257" s="100"/>
      <x:c r="G257" s="100"/>
      <x:c r="H257" s="101"/>
    </x:row>
    <x:row r="258" ht="24" customHeight="1">
      <x:c r="A258" s="253" t="str">
        <x:v>B</x:v>
      </x:c>
      <x:c r="B258" s="99" t="str">
        <x:v>Уменьшаться.</x:v>
      </x:c>
      <x:c r="C258" s="100"/>
      <x:c r="D258" s="100"/>
      <x:c r="E258" s="100"/>
      <x:c r="F258" s="100"/>
      <x:c r="G258" s="100"/>
      <x:c r="H258" s="101"/>
    </x:row>
    <x:row r="259" ht="24" customHeight="1">
      <x:c r="A259" s="253" t="str">
        <x:v>C</x:v>
      </x:c>
      <x:c r="B259" s="99" t="str">
        <x:v>Оставаться неизменным.</x:v>
      </x:c>
      <x:c r="C259" s="100"/>
      <x:c r="D259" s="100"/>
      <x:c r="E259" s="100"/>
      <x:c r="F259" s="100"/>
      <x:c r="G259" s="100"/>
      <x:c r="H259" s="101"/>
    </x:row>
    <x:row r="260" ht="8" customHeight="1"/>
    <x:row r="261" ht="28" customHeight="1">
      <x:c r="A261" s="258" t="str">
        <x:v>Ваш ответ:</x:v>
      </x:c>
      <x:c r="B261" s="259"/>
      <x:c r="C261" s="268"/>
      <x:c r="D261" s="269"/>
      <x:c r="E261" s="269"/>
      <x:c r="F261" s="269"/>
      <x:c r="G261" s="269"/>
      <x:c r="H261" s="270"/>
      <x:c r="Z261" t="n">
        <x:f>IF(C261="",0,IF(C261="B",1,0))</x:f>
        <x:v>0</x:v>
      </x:c>
      <x:c r="AA261" t="n">
        <x:f>IF(C261="",0,1)</x:f>
        <x:v>0</x:v>
      </x:c>
    </x:row>
    <x:row r="262" ht="8" customHeight="1"/>
    <x:row r="263" ht="30" customHeight="1">
      <x:c r="A263" s="343" t="str">
        <x:v>Комментарий:</x:v>
      </x:c>
      <x:c r="B263" s="344"/>
      <x:c r="C263" s="176" t="str">
        <x:f>IF(C261="","Выберите ответ.",IF(C261="A","Неверно. Направление изменения параметра указано неправильно. Правильный вариант: B.",IF(C261="B","Верно. Направление изменения параметра соответствует процессу, указанному в исходном тесте.",IF(C261="C","Неверно. Направление изменения параметра указано неправильно. Правильный вариант: B.","Неверно. Ответ не распознан. Правильный вариант: B."))))</x:f>
        <x:v>Выберите ответ.</x:v>
      </x:c>
      <x:c r="D263" s="177"/>
      <x:c r="E263" s="177"/>
      <x:c r="F263" s="177"/>
      <x:c r="G263" s="177"/>
      <x:c r="H263" s="178"/>
    </x:row>
    <x:row r="264" ht="30" customHeight="1">
      <x:c r="A264" s="345"/>
      <x:c r="B264" s="346"/>
      <x:c r="C264" s="179"/>
      <x:c r="D264" s="180"/>
      <x:c r="E264" s="180"/>
      <x:c r="F264" s="180"/>
      <x:c r="G264" s="180"/>
      <x:c r="H264" s="181"/>
    </x:row>
    <x:row r="266" ht="24" customHeight="1">
      <x:c r="A266" s="228" t="str">
        <x:v>Вопрос 21 из 25</x:v>
      </x:c>
      <x:c r="B266" s="228"/>
      <x:c r="C266" s="228"/>
      <x:c r="D266" s="228"/>
      <x:c r="E266" s="228"/>
      <x:c r="F266" s="228"/>
      <x:c r="G266" s="228"/>
      <x:c r="H266" s="228"/>
    </x:row>
    <x:row r="267" ht="48" customHeight="1">
      <x:c r="A267" s="243" t="str">
        <x:v>Произошло ГНВП. Избыточное давление в бурильных трубах 24 атм. Газ начал мигрировать в закрытой скважине. Решено стравливать раствор, поддерживая давление в бурильных трубах равным 24 атм. Что будет с забойным давлением?</x:v>
      </x:c>
      <x:c r="B267" s="244"/>
      <x:c r="C267" s="244"/>
      <x:c r="D267" s="244"/>
      <x:c r="E267" s="244"/>
      <x:c r="F267" s="244"/>
      <x:c r="G267" s="244"/>
      <x:c r="H267" s="245"/>
    </x:row>
    <x:row r="268" ht="48" customHeight="1">
      <x:c r="A268" s="246"/>
      <x:c r="B268" s="247"/>
      <x:c r="C268" s="247"/>
      <x:c r="D268" s="247"/>
      <x:c r="E268" s="247"/>
      <x:c r="F268" s="247"/>
      <x:c r="G268" s="247"/>
      <x:c r="H268" s="248"/>
    </x:row>
    <x:row r="269" ht="8" customHeight="1"/>
    <x:row r="270" ht="24" customHeight="1">
      <x:c r="A270" s="253" t="str">
        <x:v>A</x:v>
      </x:c>
      <x:c r="B270" s="99" t="str">
        <x:v>Увеличиваться.</x:v>
      </x:c>
      <x:c r="C270" s="100"/>
      <x:c r="D270" s="100"/>
      <x:c r="E270" s="100"/>
      <x:c r="F270" s="100"/>
      <x:c r="G270" s="100"/>
      <x:c r="H270" s="101"/>
    </x:row>
    <x:row r="271" ht="24" customHeight="1">
      <x:c r="A271" s="253" t="str">
        <x:v>B</x:v>
      </x:c>
      <x:c r="B271" s="99" t="str">
        <x:v>Уменьшаться.</x:v>
      </x:c>
      <x:c r="C271" s="100"/>
      <x:c r="D271" s="100"/>
      <x:c r="E271" s="100"/>
      <x:c r="F271" s="100"/>
      <x:c r="G271" s="100"/>
      <x:c r="H271" s="101"/>
    </x:row>
    <x:row r="272" ht="24" customHeight="1">
      <x:c r="A272" s="253" t="str">
        <x:v>C</x:v>
      </x:c>
      <x:c r="B272" s="99" t="str">
        <x:v>Оставаться неизменным.</x:v>
      </x:c>
      <x:c r="C272" s="100"/>
      <x:c r="D272" s="100"/>
      <x:c r="E272" s="100"/>
      <x:c r="F272" s="100"/>
      <x:c r="G272" s="100"/>
      <x:c r="H272" s="101"/>
    </x:row>
    <x:row r="273" ht="8" customHeight="1"/>
    <x:row r="274" ht="28" customHeight="1">
      <x:c r="A274" s="258" t="str">
        <x:v>Ваш ответ:</x:v>
      </x:c>
      <x:c r="B274" s="259"/>
      <x:c r="C274" s="268"/>
      <x:c r="D274" s="269"/>
      <x:c r="E274" s="269"/>
      <x:c r="F274" s="269"/>
      <x:c r="G274" s="269"/>
      <x:c r="H274" s="270"/>
      <x:c r="Z274" t="n">
        <x:f>IF(C274="",0,IF(C274="C",1,0))</x:f>
        <x:v>0</x:v>
      </x:c>
      <x:c r="AA274" t="n">
        <x:f>IF(C274="",0,1)</x:f>
        <x:v>0</x:v>
      </x:c>
    </x:row>
    <x:row r="275" ht="8" customHeight="1"/>
    <x:row r="276" ht="30" customHeight="1">
      <x:c r="A276" s="343" t="str">
        <x:v>Комментарий:</x:v>
      </x:c>
      <x:c r="B276" s="344"/>
      <x:c r="C276" s="176" t="str">
        <x:f>IF(C274="","Выберите ответ.",IF(C274="A","Неверно. Этот вариант не соответствует ключу исходного теста. Правильный вариант: C.",IF(C274="B","Неверно. Этот вариант не соответствует ключу исходного теста. Правильный вариант: C.",IF(C274="C","Верно. Этот вариант соответствует ключу исходного теста.","Неверно. Ответ не распознан. Правильный вариант: C."))))</x:f>
        <x:v>Выберите ответ.</x:v>
      </x:c>
      <x:c r="D276" s="177"/>
      <x:c r="E276" s="177"/>
      <x:c r="F276" s="177"/>
      <x:c r="G276" s="177"/>
      <x:c r="H276" s="178"/>
    </x:row>
    <x:row r="277" ht="30" customHeight="1">
      <x:c r="A277" s="345"/>
      <x:c r="B277" s="346"/>
      <x:c r="C277" s="179"/>
      <x:c r="D277" s="180"/>
      <x:c r="E277" s="180"/>
      <x:c r="F277" s="180"/>
      <x:c r="G277" s="180"/>
      <x:c r="H277" s="181"/>
    </x:row>
    <x:row r="279" ht="24" customHeight="1">
      <x:c r="A279" s="228" t="str">
        <x:v>Вопрос 22 из 25</x:v>
      </x:c>
      <x:c r="B279" s="228"/>
      <x:c r="C279" s="228"/>
      <x:c r="D279" s="228"/>
      <x:c r="E279" s="228"/>
      <x:c r="F279" s="228"/>
      <x:c r="G279" s="228"/>
      <x:c r="H279" s="228"/>
    </x:row>
    <x:row r="280" ht="62" customHeight="1">
      <x:c r="A280" s="243" t="str">
        <x:v>Произошло ГНВП. Избыточное давление в бурильных трубах 24 атм. Газ начал мигрировать в закрытой скважине. Решено стравливать раствор, поддерживая давление в бурильных трубах равным 24 атм. Что будет с давлением у башмака при движении пачки выше башмака?</x:v>
      </x:c>
      <x:c r="B280" s="244"/>
      <x:c r="C280" s="244"/>
      <x:c r="D280" s="244"/>
      <x:c r="E280" s="244"/>
      <x:c r="F280" s="244"/>
      <x:c r="G280" s="244"/>
      <x:c r="H280" s="245"/>
    </x:row>
    <x:row r="281" ht="62" customHeight="1">
      <x:c r="A281" s="246"/>
      <x:c r="B281" s="247"/>
      <x:c r="C281" s="247"/>
      <x:c r="D281" s="247"/>
      <x:c r="E281" s="247"/>
      <x:c r="F281" s="247"/>
      <x:c r="G281" s="247"/>
      <x:c r="H281" s="248"/>
    </x:row>
    <x:row r="282" ht="8" customHeight="1"/>
    <x:row r="283" ht="24" customHeight="1">
      <x:c r="A283" s="253" t="str">
        <x:v>A</x:v>
      </x:c>
      <x:c r="B283" s="99" t="str">
        <x:v>Увеличиваться.</x:v>
      </x:c>
      <x:c r="C283" s="100"/>
      <x:c r="D283" s="100"/>
      <x:c r="E283" s="100"/>
      <x:c r="F283" s="100"/>
      <x:c r="G283" s="100"/>
      <x:c r="H283" s="101"/>
    </x:row>
    <x:row r="284" ht="24" customHeight="1">
      <x:c r="A284" s="253" t="str">
        <x:v>B</x:v>
      </x:c>
      <x:c r="B284" s="99" t="str">
        <x:v>Уменьшаться.</x:v>
      </x:c>
      <x:c r="C284" s="100"/>
      <x:c r="D284" s="100"/>
      <x:c r="E284" s="100"/>
      <x:c r="F284" s="100"/>
      <x:c r="G284" s="100"/>
      <x:c r="H284" s="101"/>
    </x:row>
    <x:row r="285" ht="24" customHeight="1">
      <x:c r="A285" s="253" t="str">
        <x:v>C</x:v>
      </x:c>
      <x:c r="B285" s="99" t="str">
        <x:v>Оставаться неизменным.</x:v>
      </x:c>
      <x:c r="C285" s="100"/>
      <x:c r="D285" s="100"/>
      <x:c r="E285" s="100"/>
      <x:c r="F285" s="100"/>
      <x:c r="G285" s="100"/>
      <x:c r="H285" s="101"/>
    </x:row>
    <x:row r="286" ht="8" customHeight="1"/>
    <x:row r="287" ht="28" customHeight="1">
      <x:c r="A287" s="258" t="str">
        <x:v>Ваш ответ:</x:v>
      </x:c>
      <x:c r="B287" s="259"/>
      <x:c r="C287" s="268"/>
      <x:c r="D287" s="269"/>
      <x:c r="E287" s="269"/>
      <x:c r="F287" s="269"/>
      <x:c r="G287" s="269"/>
      <x:c r="H287" s="270"/>
      <x:c r="Z287" t="n">
        <x:f>IF(C287="",0,IF(C287="C",1,0))</x:f>
        <x:v>0</x:v>
      </x:c>
      <x:c r="AA287" t="n">
        <x:f>IF(C287="",0,1)</x:f>
        <x:v>0</x:v>
      </x:c>
    </x:row>
    <x:row r="288" ht="8" customHeight="1"/>
    <x:row r="289" ht="30" customHeight="1">
      <x:c r="A289" s="343" t="str">
        <x:v>Комментарий:</x:v>
      </x:c>
      <x:c r="B289" s="344"/>
      <x:c r="C289" s="176" t="str">
        <x:f>IF(C287="","Выберите ответ.",IF(C287="A","Неверно. Направление изменения параметра указано неправильно. Правильный вариант: C.",IF(C287="B","Неверно. Направление изменения параметра указано неправильно. Правильный вариант: C.",IF(C287="C","Верно. Направление изменения параметра соответствует процессу, указанному в исходном тесте.","Неверно. Ответ не распознан. Правильный вариант: C."))))</x:f>
        <x:v>Выберите ответ.</x:v>
      </x:c>
      <x:c r="D289" s="177"/>
      <x:c r="E289" s="177"/>
      <x:c r="F289" s="177"/>
      <x:c r="G289" s="177"/>
      <x:c r="H289" s="178"/>
    </x:row>
    <x:row r="290" ht="30" customHeight="1">
      <x:c r="A290" s="345"/>
      <x:c r="B290" s="346"/>
      <x:c r="C290" s="179"/>
      <x:c r="D290" s="180"/>
      <x:c r="E290" s="180"/>
      <x:c r="F290" s="180"/>
      <x:c r="G290" s="180"/>
      <x:c r="H290" s="181"/>
    </x:row>
    <x:row r="292" ht="24" customHeight="1">
      <x:c r="A292" s="228" t="str">
        <x:v>Вопрос 23 из 25</x:v>
      </x:c>
      <x:c r="B292" s="228"/>
      <x:c r="C292" s="228"/>
      <x:c r="D292" s="228"/>
      <x:c r="E292" s="228"/>
      <x:c r="F292" s="228"/>
      <x:c r="G292" s="228"/>
      <x:c r="H292" s="228"/>
    </x:row>
    <x:row r="293" ht="34" customHeight="1">
      <x:c r="A293" s="243" t="str">
        <x:v>Какое из утверждений верно для давлений в скважине при правильном вымыве газовой пачки?</x:v>
      </x:c>
      <x:c r="B293" s="244"/>
      <x:c r="C293" s="244"/>
      <x:c r="D293" s="244"/>
      <x:c r="E293" s="244"/>
      <x:c r="F293" s="244"/>
      <x:c r="G293" s="244"/>
      <x:c r="H293" s="245"/>
    </x:row>
    <x:row r="294" ht="34" customHeight="1">
      <x:c r="A294" s="246"/>
      <x:c r="B294" s="247"/>
      <x:c r="C294" s="247"/>
      <x:c r="D294" s="247"/>
      <x:c r="E294" s="247"/>
      <x:c r="F294" s="247"/>
      <x:c r="G294" s="247"/>
      <x:c r="H294" s="248"/>
    </x:row>
    <x:row r="295" ht="8" customHeight="1"/>
    <x:row r="296" ht="24" customHeight="1">
      <x:c r="A296" s="253" t="str">
        <x:v>A</x:v>
      </x:c>
      <x:c r="B296" s="99" t="str">
        <x:v>Давление над газовой пачкой постоянно.</x:v>
      </x:c>
      <x:c r="C296" s="100"/>
      <x:c r="D296" s="100"/>
      <x:c r="E296" s="100"/>
      <x:c r="F296" s="100"/>
      <x:c r="G296" s="100"/>
      <x:c r="H296" s="101"/>
    </x:row>
    <x:row r="297" ht="24" customHeight="1">
      <x:c r="A297" s="253" t="str">
        <x:v>B</x:v>
      </x:c>
      <x:c r="B297" s="99" t="str">
        <x:v>Давление под газовой пачкой постоянно.</x:v>
      </x:c>
      <x:c r="C297" s="100"/>
      <x:c r="D297" s="100"/>
      <x:c r="E297" s="100"/>
      <x:c r="F297" s="100"/>
      <x:c r="G297" s="100"/>
      <x:c r="H297" s="101"/>
    </x:row>
    <x:row r="298" ht="24" customHeight="1">
      <x:c r="A298" s="253" t="str">
        <x:v>C</x:v>
      </x:c>
      <x:c r="B298" s="99" t="str">
        <x:v>Давление под газовой пачкой уменьшается.</x:v>
      </x:c>
      <x:c r="C298" s="100"/>
      <x:c r="D298" s="100"/>
      <x:c r="E298" s="100"/>
      <x:c r="F298" s="100"/>
      <x:c r="G298" s="100"/>
      <x:c r="H298" s="101"/>
    </x:row>
    <x:row r="299" ht="24" customHeight="1">
      <x:c r="A299" s="253" t="str">
        <x:v>D</x:v>
      </x:c>
      <x:c r="B299" s="99" t="str">
        <x:v>Давление над газовой пачкой уменьшается.</x:v>
      </x:c>
      <x:c r="C299" s="100"/>
      <x:c r="D299" s="100"/>
      <x:c r="E299" s="100"/>
      <x:c r="F299" s="100"/>
      <x:c r="G299" s="100"/>
      <x:c r="H299" s="101"/>
    </x:row>
    <x:row r="300" ht="8" customHeight="1"/>
    <x:row r="301" ht="28" customHeight="1">
      <x:c r="A301" s="258" t="str">
        <x:v>Ваш ответ:</x:v>
      </x:c>
      <x:c r="B301" s="259"/>
      <x:c r="C301" s="268"/>
      <x:c r="D301" s="269"/>
      <x:c r="E301" s="269"/>
      <x:c r="F301" s="269"/>
      <x:c r="G301" s="269"/>
      <x:c r="H301" s="270"/>
      <x:c r="Z301" t="n">
        <x:f>IF(C301="",0,IF(C301="B",1,0))</x:f>
        <x:v>0</x:v>
      </x:c>
      <x:c r="AA301" t="n">
        <x:f>IF(C301="",0,1)</x:f>
        <x:v>0</x:v>
      </x:c>
    </x:row>
    <x:row r="302" ht="8" customHeight="1"/>
    <x:row r="303" ht="30" customHeight="1">
      <x:c r="A303" s="343" t="str">
        <x:v>Комментарий:</x:v>
      </x:c>
      <x:c r="B303" s="344"/>
      <x:c r="C303" s="176" t="str">
        <x:f>IF(C301="","Выберите ответ.",IF(C301="A","Неверно. Этот вариант не соответствует ключу исходного теста. Правильный вариант: B.",IF(C301="B","Верно. Этот вариант соответствует ключу исходного теста.",IF(C301="C","Неверно. Этот вариант не соответствует ключу исходного теста. Правильный вариант: B.",IF(C301="D","Неверно. Этот вариант не соответствует ключу исходного теста. Правильный вариант: B.","Неверно. Ответ не распознан. Правильный вариант: B.")))))</x:f>
        <x:v>Выберите ответ.</x:v>
      </x:c>
      <x:c r="D303" s="177"/>
      <x:c r="E303" s="177"/>
      <x:c r="F303" s="177"/>
      <x:c r="G303" s="177"/>
      <x:c r="H303" s="178"/>
    </x:row>
    <x:row r="304" ht="30" customHeight="1">
      <x:c r="A304" s="345"/>
      <x:c r="B304" s="346"/>
      <x:c r="C304" s="179"/>
      <x:c r="D304" s="180"/>
      <x:c r="E304" s="180"/>
      <x:c r="F304" s="180"/>
      <x:c r="G304" s="180"/>
      <x:c r="H304" s="181"/>
    </x:row>
    <x:row r="306" ht="24" customHeight="1">
      <x:c r="A306" s="228" t="str">
        <x:v>Вопрос 24 из 25</x:v>
      </x:c>
      <x:c r="B306" s="228"/>
      <x:c r="C306" s="228"/>
      <x:c r="D306" s="228"/>
      <x:c r="E306" s="228"/>
      <x:c r="F306" s="228"/>
      <x:c r="G306" s="228"/>
      <x:c r="H306" s="228"/>
    </x:row>
    <x:row r="307" ht="48" customHeight="1">
      <x:c r="A307" s="243" t="str">
        <x:v>Верно ли утверждение, что одним из методов борьбы с открытым фонтанированием скважин является подземный взрыв (в том числе ядерный)?</x:v>
      </x:c>
      <x:c r="B307" s="244"/>
      <x:c r="C307" s="244"/>
      <x:c r="D307" s="244"/>
      <x:c r="E307" s="244"/>
      <x:c r="F307" s="244"/>
      <x:c r="G307" s="244"/>
      <x:c r="H307" s="245"/>
    </x:row>
    <x:row r="308" ht="48" customHeight="1">
      <x:c r="A308" s="246"/>
      <x:c r="B308" s="247"/>
      <x:c r="C308" s="247"/>
      <x:c r="D308" s="247"/>
      <x:c r="E308" s="247"/>
      <x:c r="F308" s="247"/>
      <x:c r="G308" s="247"/>
      <x:c r="H308" s="248"/>
    </x:row>
    <x:row r="309" ht="8" customHeight="1"/>
    <x:row r="310" ht="24" customHeight="1">
      <x:c r="A310" s="253" t="str">
        <x:v>A</x:v>
      </x:c>
      <x:c r="B310" s="99" t="str">
        <x:v>Нет.</x:v>
      </x:c>
      <x:c r="C310" s="100"/>
      <x:c r="D310" s="100"/>
      <x:c r="E310" s="100"/>
      <x:c r="F310" s="100"/>
      <x:c r="G310" s="100"/>
      <x:c r="H310" s="101"/>
    </x:row>
    <x:row r="311" ht="24" customHeight="1">
      <x:c r="A311" s="253" t="str">
        <x:v>B</x:v>
      </x:c>
      <x:c r="B311" s="99" t="str">
        <x:v>Да.</x:v>
      </x:c>
      <x:c r="C311" s="100"/>
      <x:c r="D311" s="100"/>
      <x:c r="E311" s="100"/>
      <x:c r="F311" s="100"/>
      <x:c r="G311" s="100"/>
      <x:c r="H311" s="101"/>
    </x:row>
    <x:row r="312" ht="8" customHeight="1"/>
    <x:row r="313" ht="28" customHeight="1">
      <x:c r="A313" s="258" t="str">
        <x:v>Ваш ответ:</x:v>
      </x:c>
      <x:c r="B313" s="259"/>
      <x:c r="C313" s="268"/>
      <x:c r="D313" s="269"/>
      <x:c r="E313" s="269"/>
      <x:c r="F313" s="269"/>
      <x:c r="G313" s="269"/>
      <x:c r="H313" s="270"/>
      <x:c r="Z313" t="n">
        <x:f>IF(C313="",0,IF(C313="B",1,0))</x:f>
        <x:v>0</x:v>
      </x:c>
      <x:c r="AA313" t="n">
        <x:f>IF(C313="",0,1)</x:f>
        <x:v>0</x:v>
      </x:c>
    </x:row>
    <x:row r="314" ht="8" customHeight="1"/>
    <x:row r="315" ht="30" customHeight="1">
      <x:c r="A315" s="343" t="str">
        <x:v>Комментарий:</x:v>
      </x:c>
      <x:c r="B315" s="344"/>
      <x:c r="C315" s="176" t="str">
        <x:f>IF(C313="","Выберите ответ.",IF(C313="A","Неверно. В исходном тесте верным считается противоположное утверждение. Правильный вариант: B.",IF(C313="B","Верно. Утверждение соответствует ключу исходного теста.","Неверно. Ответ не распознан. Правильный вариант: B.")))</x:f>
        <x:v>Выберите ответ.</x:v>
      </x:c>
      <x:c r="D315" s="177"/>
      <x:c r="E315" s="177"/>
      <x:c r="F315" s="177"/>
      <x:c r="G315" s="177"/>
      <x:c r="H315" s="178"/>
    </x:row>
    <x:row r="316" ht="30" customHeight="1">
      <x:c r="A316" s="345"/>
      <x:c r="B316" s="346"/>
      <x:c r="C316" s="179"/>
      <x:c r="D316" s="180"/>
      <x:c r="E316" s="180"/>
      <x:c r="F316" s="180"/>
      <x:c r="G316" s="180"/>
      <x:c r="H316" s="181"/>
    </x:row>
    <x:row r="318" ht="24" customHeight="1">
      <x:c r="A318" s="228" t="str">
        <x:v>Вопрос 25 из 25</x:v>
      </x:c>
      <x:c r="B318" s="228"/>
      <x:c r="C318" s="228"/>
      <x:c r="D318" s="228"/>
      <x:c r="E318" s="228"/>
      <x:c r="F318" s="228"/>
      <x:c r="G318" s="228"/>
      <x:c r="H318" s="228"/>
    </x:row>
    <x:row r="319" ht="48" customHeight="1">
      <x:c r="A319" s="243" t="str">
        <x:v>Назовите тип превенторов, получивших наибольшее распространение в отечественной и мировой практике использования в составе ПВО.</x:v>
      </x:c>
      <x:c r="B319" s="244"/>
      <x:c r="C319" s="244"/>
      <x:c r="D319" s="244"/>
      <x:c r="E319" s="244"/>
      <x:c r="F319" s="244"/>
      <x:c r="G319" s="244"/>
      <x:c r="H319" s="245"/>
    </x:row>
    <x:row r="320" ht="48" customHeight="1">
      <x:c r="A320" s="246"/>
      <x:c r="B320" s="247"/>
      <x:c r="C320" s="247"/>
      <x:c r="D320" s="247"/>
      <x:c r="E320" s="247"/>
      <x:c r="F320" s="247"/>
      <x:c r="G320" s="247"/>
      <x:c r="H320" s="248"/>
    </x:row>
    <x:row r="321" ht="8" customHeight="1"/>
    <x:row r="322" ht="24" customHeight="1">
      <x:c r="A322" s="253" t="str">
        <x:v>A</x:v>
      </x:c>
      <x:c r="B322" s="99" t="str">
        <x:v>Кольцевые.</x:v>
      </x:c>
      <x:c r="C322" s="100"/>
      <x:c r="D322" s="100"/>
      <x:c r="E322" s="100"/>
      <x:c r="F322" s="100"/>
      <x:c r="G322" s="100"/>
      <x:c r="H322" s="101"/>
    </x:row>
    <x:row r="323" ht="24" customHeight="1">
      <x:c r="A323" s="253" t="str">
        <x:v>B</x:v>
      </x:c>
      <x:c r="B323" s="99" t="str">
        <x:v>Универсальные.</x:v>
      </x:c>
      <x:c r="C323" s="100"/>
      <x:c r="D323" s="100"/>
      <x:c r="E323" s="100"/>
      <x:c r="F323" s="100"/>
      <x:c r="G323" s="100"/>
      <x:c r="H323" s="101"/>
    </x:row>
    <x:row r="324" ht="24" customHeight="1">
      <x:c r="A324" s="253" t="str">
        <x:v>C</x:v>
      </x:c>
      <x:c r="B324" s="99" t="str">
        <x:v>Вращающиеся.</x:v>
      </x:c>
      <x:c r="C324" s="100"/>
      <x:c r="D324" s="100"/>
      <x:c r="E324" s="100"/>
      <x:c r="F324" s="100"/>
      <x:c r="G324" s="100"/>
      <x:c r="H324" s="101"/>
    </x:row>
    <x:row r="325" ht="24" customHeight="1">
      <x:c r="A325" s="253" t="str">
        <x:v>D</x:v>
      </x:c>
      <x:c r="B325" s="99" t="str">
        <x:v>Срезные.</x:v>
      </x:c>
      <x:c r="C325" s="100"/>
      <x:c r="D325" s="100"/>
      <x:c r="E325" s="100"/>
      <x:c r="F325" s="100"/>
      <x:c r="G325" s="100"/>
      <x:c r="H325" s="101"/>
    </x:row>
    <x:row r="326" ht="24" customHeight="1">
      <x:c r="A326" s="253" t="str">
        <x:v>E</x:v>
      </x:c>
      <x:c r="B326" s="99" t="str">
        <x:v>Плашечные.</x:v>
      </x:c>
      <x:c r="C326" s="100"/>
      <x:c r="D326" s="100"/>
      <x:c r="E326" s="100"/>
      <x:c r="F326" s="100"/>
      <x:c r="G326" s="100"/>
      <x:c r="H326" s="101"/>
    </x:row>
    <x:row r="327" ht="8" customHeight="1"/>
    <x:row r="328" ht="28" customHeight="1">
      <x:c r="A328" s="258" t="str">
        <x:v>Ваш ответ:</x:v>
      </x:c>
      <x:c r="B328" s="259"/>
      <x:c r="C328" s="268"/>
      <x:c r="D328" s="269"/>
      <x:c r="E328" s="269"/>
      <x:c r="F328" s="269"/>
      <x:c r="G328" s="269"/>
      <x:c r="H328" s="270"/>
      <x:c r="Z328" t="n">
        <x:f>IF(C328="",0,IF(C328="E",1,0))</x:f>
        <x:v>0</x:v>
      </x:c>
      <x:c r="AA328" t="n">
        <x:f>IF(C328="",0,1)</x:f>
        <x:v>0</x:v>
      </x:c>
    </x:row>
    <x:row r="329" ht="8" customHeight="1"/>
    <x:row r="330" ht="30" customHeight="1">
      <x:c r="A330" s="343" t="str">
        <x:v>Комментарий:</x:v>
      </x:c>
      <x:c r="B330" s="344"/>
      <x:c r="C330" s="176" t="str">
        <x:f>IF(C328="","Выберите ответ.",IF(C328="A","Неверно. Этот вариант не соответствует ключу исходного теста. Правильный вариант: E.",IF(C328="B","Неверно. Этот вариант не соответствует ключу исходного теста. Правильный вариант: E.",IF(C328="C","Неверно. Этот вариант не соответствует ключу исходного теста. Правильный вариант: E.",IF(C328="D","Неверно. Этот вариант не соответствует ключу исходного теста. Правильный вариант: E.",IF(C328="E","Верно. Этот вариант соответствует ключу исходного теста.","Неверно. Ответ не распознан. Правильный вариант: E."))))))</x:f>
        <x:v>Выберите ответ.</x:v>
      </x:c>
      <x:c r="D330" s="177"/>
      <x:c r="E330" s="177"/>
      <x:c r="F330" s="177"/>
      <x:c r="G330" s="177"/>
      <x:c r="H330" s="178"/>
    </x:row>
    <x:row r="331" ht="30" customHeight="1">
      <x:c r="A331" s="345"/>
      <x:c r="B331" s="346"/>
      <x:c r="C331" s="179"/>
      <x:c r="D331" s="180"/>
      <x:c r="E331" s="180"/>
      <x:c r="F331" s="180"/>
      <x:c r="G331" s="180"/>
      <x:c r="H331" s="181"/>
    </x:row>
    <x:row r="333" ht="10" customHeight="1"/>
  </x:sheetData>
  <x:mergeCells>
    <x:mergeCell ref="A1:H1"/>
    <x:mergeCell ref="A2:H2"/>
    <x:mergeCell ref="A3:B3"/>
    <x:mergeCell ref="D3:E3"/>
    <x:mergeCell ref="A5:H5"/>
    <x:mergeCell ref="A6:H7"/>
    <x:mergeCell ref="B9:H9"/>
    <x:mergeCell ref="B10:H10"/>
    <x:mergeCell ref="B11:H11"/>
    <x:mergeCell ref="A13:B13"/>
    <x:mergeCell ref="C13:H13"/>
    <x:mergeCell ref="A15:B16"/>
    <x:mergeCell ref="C15:H16"/>
    <x:mergeCell ref="A18:H18"/>
    <x:mergeCell ref="A19:H20"/>
    <x:mergeCell ref="B22:H22"/>
    <x:mergeCell ref="B23:H23"/>
    <x:mergeCell ref="B24:H24"/>
    <x:mergeCell ref="A26:B26"/>
    <x:mergeCell ref="C26:H26"/>
    <x:mergeCell ref="A28:B29"/>
    <x:mergeCell ref="C28:H29"/>
    <x:mergeCell ref="A31:H31"/>
    <x:mergeCell ref="A32:H33"/>
    <x:mergeCell ref="B35:H35"/>
    <x:mergeCell ref="B36:H36"/>
    <x:mergeCell ref="B37:H37"/>
    <x:mergeCell ref="A39:B39"/>
    <x:mergeCell ref="C39:H39"/>
    <x:mergeCell ref="A41:B42"/>
    <x:mergeCell ref="C41:H42"/>
    <x:mergeCell ref="A44:H44"/>
    <x:mergeCell ref="A45:H46"/>
    <x:mergeCell ref="B48:H48"/>
    <x:mergeCell ref="B49:H49"/>
    <x:mergeCell ref="B50:H50"/>
    <x:mergeCell ref="A52:B52"/>
    <x:mergeCell ref="C52:H52"/>
    <x:mergeCell ref="A54:B55"/>
    <x:mergeCell ref="C54:H55"/>
    <x:mergeCell ref="A57:H57"/>
    <x:mergeCell ref="A58:H59"/>
    <x:mergeCell ref="B61:H61"/>
    <x:mergeCell ref="B62:H62"/>
    <x:mergeCell ref="B63:H63"/>
    <x:mergeCell ref="B64:H64"/>
    <x:mergeCell ref="A66:B66"/>
    <x:mergeCell ref="C66:H66"/>
    <x:mergeCell ref="A68:B69"/>
    <x:mergeCell ref="C68:H69"/>
    <x:mergeCell ref="A71:H71"/>
    <x:mergeCell ref="A72:H73"/>
    <x:mergeCell ref="B75:H75"/>
    <x:mergeCell ref="B76:H76"/>
    <x:mergeCell ref="B77:H77"/>
    <x:mergeCell ref="B78:H78"/>
    <x:mergeCell ref="A80:B80"/>
    <x:mergeCell ref="C80:H80"/>
    <x:mergeCell ref="A82:B83"/>
    <x:mergeCell ref="C82:H83"/>
    <x:mergeCell ref="A85:H85"/>
    <x:mergeCell ref="A86:H87"/>
    <x:mergeCell ref="B89:H89"/>
    <x:mergeCell ref="B90:H90"/>
    <x:mergeCell ref="B91:H91"/>
    <x:mergeCell ref="A93:B93"/>
    <x:mergeCell ref="C93:H93"/>
    <x:mergeCell ref="A95:B96"/>
    <x:mergeCell ref="C95:H96"/>
    <x:mergeCell ref="A98:H98"/>
    <x:mergeCell ref="A99:H100"/>
    <x:mergeCell ref="B102:H102"/>
    <x:mergeCell ref="B103:H103"/>
    <x:mergeCell ref="B104:H104"/>
    <x:mergeCell ref="A106:B106"/>
    <x:mergeCell ref="C106:H106"/>
    <x:mergeCell ref="A108:B109"/>
    <x:mergeCell ref="C108:H109"/>
    <x:mergeCell ref="A111:H111"/>
    <x:mergeCell ref="A112:H113"/>
    <x:mergeCell ref="B115:H115"/>
    <x:mergeCell ref="B116:H116"/>
    <x:mergeCell ref="B117:H117"/>
    <x:mergeCell ref="A119:B119"/>
    <x:mergeCell ref="C119:H119"/>
    <x:mergeCell ref="A121:B122"/>
    <x:mergeCell ref="C121:H122"/>
    <x:mergeCell ref="A124:H124"/>
    <x:mergeCell ref="A125:H126"/>
    <x:mergeCell ref="B128:H128"/>
    <x:mergeCell ref="B129:H129"/>
    <x:mergeCell ref="B130:H130"/>
    <x:mergeCell ref="A132:B132"/>
    <x:mergeCell ref="C132:H132"/>
    <x:mergeCell ref="A134:B135"/>
    <x:mergeCell ref="C134:H135"/>
    <x:mergeCell ref="A137:H137"/>
    <x:mergeCell ref="A138:H139"/>
    <x:mergeCell ref="B141:H141"/>
    <x:mergeCell ref="B142:H142"/>
    <x:mergeCell ref="B143:H143"/>
    <x:mergeCell ref="A145:B145"/>
    <x:mergeCell ref="C145:H145"/>
    <x:mergeCell ref="A147:B148"/>
    <x:mergeCell ref="C147:H148"/>
    <x:mergeCell ref="A150:H150"/>
    <x:mergeCell ref="A151:H152"/>
    <x:mergeCell ref="B154:H154"/>
    <x:mergeCell ref="B155:H155"/>
    <x:mergeCell ref="B156:H156"/>
    <x:mergeCell ref="A158:B158"/>
    <x:mergeCell ref="C158:H158"/>
    <x:mergeCell ref="A160:B161"/>
    <x:mergeCell ref="C160:H161"/>
    <x:mergeCell ref="A163:H163"/>
    <x:mergeCell ref="A164:H165"/>
    <x:mergeCell ref="B167:H167"/>
    <x:mergeCell ref="B168:H168"/>
    <x:mergeCell ref="B169:H169"/>
    <x:mergeCell ref="A171:B171"/>
    <x:mergeCell ref="C171:H171"/>
    <x:mergeCell ref="A173:B174"/>
    <x:mergeCell ref="C173:H174"/>
    <x:mergeCell ref="A176:H176"/>
    <x:mergeCell ref="A177:H178"/>
    <x:mergeCell ref="B180:H180"/>
    <x:mergeCell ref="B181:H181"/>
    <x:mergeCell ref="B182:H182"/>
    <x:mergeCell ref="A184:B184"/>
    <x:mergeCell ref="C184:H184"/>
    <x:mergeCell ref="A186:B187"/>
    <x:mergeCell ref="C186:H187"/>
    <x:mergeCell ref="A189:H189"/>
    <x:mergeCell ref="A190:H191"/>
    <x:mergeCell ref="B193:H193"/>
    <x:mergeCell ref="B194:H194"/>
    <x:mergeCell ref="A196:B196"/>
    <x:mergeCell ref="C196:H196"/>
    <x:mergeCell ref="A198:B199"/>
    <x:mergeCell ref="C198:H199"/>
    <x:mergeCell ref="A201:H201"/>
    <x:mergeCell ref="A202:H203"/>
    <x:mergeCell ref="B205:H205"/>
    <x:mergeCell ref="B206:H206"/>
    <x:mergeCell ref="B207:H207"/>
    <x:mergeCell ref="A209:B209"/>
    <x:mergeCell ref="C209:H209"/>
    <x:mergeCell ref="A211:B212"/>
    <x:mergeCell ref="C211:H212"/>
    <x:mergeCell ref="A214:H214"/>
    <x:mergeCell ref="A215:H216"/>
    <x:mergeCell ref="B218:H218"/>
    <x:mergeCell ref="B219:H219"/>
    <x:mergeCell ref="B220:H220"/>
    <x:mergeCell ref="A222:B222"/>
    <x:mergeCell ref="C222:H222"/>
    <x:mergeCell ref="A224:B225"/>
    <x:mergeCell ref="C224:H225"/>
    <x:mergeCell ref="A227:H227"/>
    <x:mergeCell ref="A228:H229"/>
    <x:mergeCell ref="B231:H231"/>
    <x:mergeCell ref="B232:H232"/>
    <x:mergeCell ref="B233:H233"/>
    <x:mergeCell ref="A235:B235"/>
    <x:mergeCell ref="C235:H235"/>
    <x:mergeCell ref="A237:B238"/>
    <x:mergeCell ref="C237:H238"/>
    <x:mergeCell ref="A240:H240"/>
    <x:mergeCell ref="A241:H242"/>
    <x:mergeCell ref="B244:H244"/>
    <x:mergeCell ref="B245:H245"/>
    <x:mergeCell ref="B246:H246"/>
    <x:mergeCell ref="A248:B248"/>
    <x:mergeCell ref="C248:H248"/>
    <x:mergeCell ref="A250:B251"/>
    <x:mergeCell ref="C250:H251"/>
    <x:mergeCell ref="A253:H253"/>
    <x:mergeCell ref="A254:H255"/>
    <x:mergeCell ref="B257:H257"/>
    <x:mergeCell ref="B258:H258"/>
    <x:mergeCell ref="B259:H259"/>
    <x:mergeCell ref="A261:B261"/>
    <x:mergeCell ref="C261:H261"/>
    <x:mergeCell ref="A263:B264"/>
    <x:mergeCell ref="C263:H264"/>
    <x:mergeCell ref="A266:H266"/>
    <x:mergeCell ref="A267:H268"/>
    <x:mergeCell ref="B270:H270"/>
    <x:mergeCell ref="B271:H271"/>
    <x:mergeCell ref="B272:H272"/>
    <x:mergeCell ref="A274:B274"/>
    <x:mergeCell ref="C274:H274"/>
    <x:mergeCell ref="A276:B277"/>
    <x:mergeCell ref="C276:H277"/>
    <x:mergeCell ref="A279:H279"/>
    <x:mergeCell ref="A280:H281"/>
    <x:mergeCell ref="B283:H283"/>
    <x:mergeCell ref="B284:H284"/>
    <x:mergeCell ref="B285:H285"/>
    <x:mergeCell ref="A287:B287"/>
    <x:mergeCell ref="C287:H287"/>
    <x:mergeCell ref="A289:B290"/>
    <x:mergeCell ref="C289:H290"/>
    <x:mergeCell ref="A292:H292"/>
    <x:mergeCell ref="A293:H294"/>
    <x:mergeCell ref="B296:H296"/>
    <x:mergeCell ref="B297:H297"/>
    <x:mergeCell ref="B298:H298"/>
    <x:mergeCell ref="B299:H299"/>
    <x:mergeCell ref="A301:B301"/>
    <x:mergeCell ref="C301:H301"/>
    <x:mergeCell ref="A303:B304"/>
    <x:mergeCell ref="C303:H304"/>
    <x:mergeCell ref="A306:H306"/>
    <x:mergeCell ref="A307:H308"/>
    <x:mergeCell ref="B310:H310"/>
    <x:mergeCell ref="B311:H311"/>
    <x:mergeCell ref="A313:B313"/>
    <x:mergeCell ref="C313:H313"/>
    <x:mergeCell ref="A315:B316"/>
    <x:mergeCell ref="C315:H316"/>
    <x:mergeCell ref="A318:H318"/>
    <x:mergeCell ref="A319:H320"/>
    <x:mergeCell ref="B322:H322"/>
    <x:mergeCell ref="B323:H323"/>
    <x:mergeCell ref="B324:H324"/>
    <x:mergeCell ref="B325:H325"/>
    <x:mergeCell ref="B326:H326"/>
    <x:mergeCell ref="A328:B328"/>
    <x:mergeCell ref="C328:H328"/>
    <x:mergeCell ref="A330:B331"/>
    <x:mergeCell ref="C330:H331"/>
  </x:mergeCells>
  <x:conditionalFormatting sqref="C15:H16">
    <x:cfRule type="expression" dxfId="200" priority="1">
      <x:formula>LEFT($C$15,6)="Верно."</x:formula>
    </x:cfRule>
    <x:cfRule type="expression" dxfId="201" priority="2">
      <x:formula>LEFT($C$15,7)="Неверно"</x:formula>
    </x:cfRule>
  </x:conditionalFormatting>
  <x:conditionalFormatting sqref="C28:H29">
    <x:cfRule type="expression" dxfId="202" priority="3">
      <x:formula>LEFT($C$28,6)="Верно."</x:formula>
    </x:cfRule>
    <x:cfRule type="expression" dxfId="203" priority="4">
      <x:formula>LEFT($C$28,7)="Неверно"</x:formula>
    </x:cfRule>
  </x:conditionalFormatting>
  <x:conditionalFormatting sqref="C41:H42">
    <x:cfRule type="expression" dxfId="204" priority="5">
      <x:formula>LEFT($C$41,6)="Верно."</x:formula>
    </x:cfRule>
    <x:cfRule type="expression" dxfId="205" priority="6">
      <x:formula>LEFT($C$41,7)="Неверно"</x:formula>
    </x:cfRule>
  </x:conditionalFormatting>
  <x:conditionalFormatting sqref="C54:H55">
    <x:cfRule type="expression" dxfId="206" priority="7">
      <x:formula>LEFT($C$54,6)="Верно."</x:formula>
    </x:cfRule>
    <x:cfRule type="expression" dxfId="207" priority="8">
      <x:formula>LEFT($C$54,7)="Неверно"</x:formula>
    </x:cfRule>
  </x:conditionalFormatting>
  <x:conditionalFormatting sqref="C68:H69">
    <x:cfRule type="expression" dxfId="208" priority="9">
      <x:formula>LEFT($C$68,6)="Верно."</x:formula>
    </x:cfRule>
    <x:cfRule type="expression" dxfId="209" priority="10">
      <x:formula>LEFT($C$68,7)="Неверно"</x:formula>
    </x:cfRule>
  </x:conditionalFormatting>
  <x:conditionalFormatting sqref="C82:H83">
    <x:cfRule type="expression" dxfId="210" priority="11">
      <x:formula>LEFT($C$82,6)="Верно."</x:formula>
    </x:cfRule>
    <x:cfRule type="expression" dxfId="211" priority="12">
      <x:formula>LEFT($C$82,7)="Неверно"</x:formula>
    </x:cfRule>
  </x:conditionalFormatting>
  <x:conditionalFormatting sqref="C95:H96">
    <x:cfRule type="expression" dxfId="212" priority="13">
      <x:formula>LEFT($C$95,6)="Верно."</x:formula>
    </x:cfRule>
    <x:cfRule type="expression" dxfId="213" priority="14">
      <x:formula>LEFT($C$95,7)="Неверно"</x:formula>
    </x:cfRule>
  </x:conditionalFormatting>
  <x:conditionalFormatting sqref="C108:H109">
    <x:cfRule type="expression" dxfId="214" priority="15">
      <x:formula>LEFT($C$108,6)="Верно."</x:formula>
    </x:cfRule>
    <x:cfRule type="expression" dxfId="215" priority="16">
      <x:formula>LEFT($C$108,7)="Неверно"</x:formula>
    </x:cfRule>
  </x:conditionalFormatting>
  <x:conditionalFormatting sqref="C121:H122">
    <x:cfRule type="expression" dxfId="216" priority="17">
      <x:formula>LEFT($C$121,6)="Верно."</x:formula>
    </x:cfRule>
    <x:cfRule type="expression" dxfId="217" priority="18">
      <x:formula>LEFT($C$121,7)="Неверно"</x:formula>
    </x:cfRule>
  </x:conditionalFormatting>
  <x:conditionalFormatting sqref="C134:H135">
    <x:cfRule type="expression" dxfId="218" priority="19">
      <x:formula>LEFT($C$134,6)="Верно."</x:formula>
    </x:cfRule>
    <x:cfRule type="expression" dxfId="219" priority="20">
      <x:formula>LEFT($C$134,7)="Неверно"</x:formula>
    </x:cfRule>
  </x:conditionalFormatting>
  <x:conditionalFormatting sqref="C147:H148">
    <x:cfRule type="expression" dxfId="220" priority="21">
      <x:formula>LEFT($C$147,6)="Верно."</x:formula>
    </x:cfRule>
    <x:cfRule type="expression" dxfId="221" priority="22">
      <x:formula>LEFT($C$147,7)="Неверно"</x:formula>
    </x:cfRule>
  </x:conditionalFormatting>
  <x:conditionalFormatting sqref="C160:H161">
    <x:cfRule type="expression" dxfId="222" priority="23">
      <x:formula>LEFT($C$160,6)="Верно."</x:formula>
    </x:cfRule>
    <x:cfRule type="expression" dxfId="223" priority="24">
      <x:formula>LEFT($C$160,7)="Неверно"</x:formula>
    </x:cfRule>
  </x:conditionalFormatting>
  <x:conditionalFormatting sqref="C173:H174">
    <x:cfRule type="expression" dxfId="224" priority="25">
      <x:formula>LEFT($C$173,6)="Верно."</x:formula>
    </x:cfRule>
    <x:cfRule type="expression" dxfId="225" priority="26">
      <x:formula>LEFT($C$173,7)="Неверно"</x:formula>
    </x:cfRule>
  </x:conditionalFormatting>
  <x:conditionalFormatting sqref="C186:H187">
    <x:cfRule type="expression" dxfId="226" priority="27">
      <x:formula>LEFT($C$186,6)="Верно."</x:formula>
    </x:cfRule>
    <x:cfRule type="expression" dxfId="227" priority="28">
      <x:formula>LEFT($C$186,7)="Неверно"</x:formula>
    </x:cfRule>
  </x:conditionalFormatting>
  <x:conditionalFormatting sqref="C198:H199">
    <x:cfRule type="expression" dxfId="228" priority="29">
      <x:formula>LEFT($C$198,6)="Верно."</x:formula>
    </x:cfRule>
    <x:cfRule type="expression" dxfId="229" priority="30">
      <x:formula>LEFT($C$198,7)="Неверно"</x:formula>
    </x:cfRule>
  </x:conditionalFormatting>
  <x:conditionalFormatting sqref="C211:H212">
    <x:cfRule type="expression" dxfId="230" priority="31">
      <x:formula>LEFT($C$211,6)="Верно."</x:formula>
    </x:cfRule>
    <x:cfRule type="expression" dxfId="231" priority="32">
      <x:formula>LEFT($C$211,7)="Неверно"</x:formula>
    </x:cfRule>
  </x:conditionalFormatting>
  <x:conditionalFormatting sqref="C224:H225">
    <x:cfRule type="expression" dxfId="232" priority="33">
      <x:formula>LEFT($C$224,6)="Верно."</x:formula>
    </x:cfRule>
    <x:cfRule type="expression" dxfId="233" priority="34">
      <x:formula>LEFT($C$224,7)="Неверно"</x:formula>
    </x:cfRule>
  </x:conditionalFormatting>
  <x:conditionalFormatting sqref="C237:H238">
    <x:cfRule type="expression" dxfId="234" priority="35">
      <x:formula>LEFT($C$237,6)="Верно."</x:formula>
    </x:cfRule>
    <x:cfRule type="expression" dxfId="235" priority="36">
      <x:formula>LEFT($C$237,7)="Неверно"</x:formula>
    </x:cfRule>
  </x:conditionalFormatting>
  <x:conditionalFormatting sqref="C250:H251">
    <x:cfRule type="expression" dxfId="236" priority="37">
      <x:formula>LEFT($C$250,6)="Верно."</x:formula>
    </x:cfRule>
    <x:cfRule type="expression" dxfId="237" priority="38">
      <x:formula>LEFT($C$250,7)="Неверно"</x:formula>
    </x:cfRule>
  </x:conditionalFormatting>
  <x:conditionalFormatting sqref="C263:H264">
    <x:cfRule type="expression" dxfId="238" priority="39">
      <x:formula>LEFT($C$263,6)="Верно."</x:formula>
    </x:cfRule>
    <x:cfRule type="expression" dxfId="239" priority="40">
      <x:formula>LEFT($C$263,7)="Неверно"</x:formula>
    </x:cfRule>
  </x:conditionalFormatting>
  <x:conditionalFormatting sqref="C276:H277">
    <x:cfRule type="expression" dxfId="240" priority="41">
      <x:formula>LEFT($C$276,6)="Верно."</x:formula>
    </x:cfRule>
    <x:cfRule type="expression" dxfId="241" priority="42">
      <x:formula>LEFT($C$276,7)="Неверно"</x:formula>
    </x:cfRule>
  </x:conditionalFormatting>
  <x:conditionalFormatting sqref="C289:H290">
    <x:cfRule type="expression" dxfId="242" priority="43">
      <x:formula>LEFT($C$289,6)="Верно."</x:formula>
    </x:cfRule>
    <x:cfRule type="expression" dxfId="243" priority="44">
      <x:formula>LEFT($C$289,7)="Неверно"</x:formula>
    </x:cfRule>
  </x:conditionalFormatting>
  <x:conditionalFormatting sqref="C303:H304">
    <x:cfRule type="expression" dxfId="244" priority="45">
      <x:formula>LEFT($C$303,6)="Верно."</x:formula>
    </x:cfRule>
    <x:cfRule type="expression" dxfId="245" priority="46">
      <x:formula>LEFT($C$303,7)="Неверно"</x:formula>
    </x:cfRule>
  </x:conditionalFormatting>
  <x:conditionalFormatting sqref="C315:H316">
    <x:cfRule type="expression" dxfId="246" priority="47">
      <x:formula>LEFT($C$315,6)="Верно."</x:formula>
    </x:cfRule>
    <x:cfRule type="expression" dxfId="247" priority="48">
      <x:formula>LEFT($C$315,7)="Неверно"</x:formula>
    </x:cfRule>
  </x:conditionalFormatting>
  <x:conditionalFormatting sqref="C330:H331">
    <x:cfRule type="expression" dxfId="248" priority="49">
      <x:formula>LEFT($C$330,6)="Верно."</x:formula>
    </x:cfRule>
    <x:cfRule type="expression" dxfId="249" priority="50">
      <x:formula>LEFT($C$330,7)="Неверно"</x:formula>
    </x:cfRule>
  </x:conditionalFormatting>
  <x:dataValidations count="25">
    <x:dataValidation type="list" sqref="C13:H13">
      <x:formula1>"A,B,C"</x:formula1>
    </x:dataValidation>
    <x:dataValidation type="list" sqref="C26:H26">
      <x:formula1>"A,B,C"</x:formula1>
    </x:dataValidation>
    <x:dataValidation type="list" sqref="C39:H39">
      <x:formula1>"A,B,C"</x:formula1>
    </x:dataValidation>
    <x:dataValidation type="list" sqref="C52:H52">
      <x:formula1>"A,B,C"</x:formula1>
    </x:dataValidation>
    <x:dataValidation type="list" sqref="C66:H66">
      <x:formula1>"A,B,C,D"</x:formula1>
    </x:dataValidation>
    <x:dataValidation type="list" sqref="C80:H80">
      <x:formula1>"A,B,C,D"</x:formula1>
    </x:dataValidation>
    <x:dataValidation type="list" sqref="C93:H93">
      <x:formula1>"A,B,C"</x:formula1>
    </x:dataValidation>
    <x:dataValidation type="list" sqref="C106:H106">
      <x:formula1>"A,B,C"</x:formula1>
    </x:dataValidation>
    <x:dataValidation type="list" sqref="C119:H119">
      <x:formula1>"A,B,C"</x:formula1>
    </x:dataValidation>
    <x:dataValidation type="list" sqref="C132:H132">
      <x:formula1>"A,B,C"</x:formula1>
    </x:dataValidation>
    <x:dataValidation type="list" sqref="C145:H145">
      <x:formula1>"A,B,C"</x:formula1>
    </x:dataValidation>
    <x:dataValidation type="list" sqref="C158:H158">
      <x:formula1>"A,B,C"</x:formula1>
    </x:dataValidation>
    <x:dataValidation type="list" sqref="C171:H171">
      <x:formula1>"A,B,C"</x:formula1>
    </x:dataValidation>
    <x:dataValidation type="list" sqref="C184:H184">
      <x:formula1>"A,B,C"</x:formula1>
    </x:dataValidation>
    <x:dataValidation type="list" sqref="C196:H196">
      <x:formula1>"A,B"</x:formula1>
    </x:dataValidation>
    <x:dataValidation type="list" sqref="C209:H209">
      <x:formula1>"A,B,C"</x:formula1>
    </x:dataValidation>
    <x:dataValidation type="list" sqref="C222:H222">
      <x:formula1>"A,B,C"</x:formula1>
    </x:dataValidation>
    <x:dataValidation type="list" sqref="C235:H235">
      <x:formula1>"A,B,C"</x:formula1>
    </x:dataValidation>
    <x:dataValidation type="list" sqref="C248:H248">
      <x:formula1>"A,B,C"</x:formula1>
    </x:dataValidation>
    <x:dataValidation type="list" sqref="C261:H261">
      <x:formula1>"A,B,C"</x:formula1>
    </x:dataValidation>
    <x:dataValidation type="list" sqref="C274:H274">
      <x:formula1>"A,B,C"</x:formula1>
    </x:dataValidation>
    <x:dataValidation type="list" sqref="C287:H287">
      <x:formula1>"A,B,C"</x:formula1>
    </x:dataValidation>
    <x:dataValidation type="list" sqref="C301:H301">
      <x:formula1>"A,B,C,D"</x:formula1>
    </x:dataValidation>
    <x:dataValidation type="list" sqref="C313:H313">
      <x:formula1>"A,B"</x:formula1>
    </x:dataValidation>
    <x:dataValidation type="list" sqref="C328:H328">
      <x:formula1>"A,B,C,D,E"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26" max="26" width="2" hidden="0" customWidth="1"/>
    <x:col min="27" max="27" width="2" hidden="0" customWidth="1"/>
  </x:cols>
  <x:sheetData>
    <x:row r="1" ht="28" customHeight="1">
      <x:c r="A1" s="214" t="str">
        <x:v>Тест ГНВП — вопросы 76–100</x:v>
      </x:c>
      <x:c r="B1" s="214"/>
      <x:c r="C1" s="214"/>
      <x:c r="D1" s="214"/>
      <x:c r="E1" s="214"/>
      <x:c r="F1" s="214"/>
      <x:c r="G1" s="214"/>
      <x:c r="H1" s="214"/>
    </x:row>
    <x:row r="2" ht="28" customHeight="1">
      <x:c r="A2" s="219" t="str">
        <x:v>Выбирайте букву ответа. После выбора сразу появится комментарий.</x:v>
      </x:c>
      <x:c r="B2" s="219"/>
      <x:c r="C2" s="219"/>
      <x:c r="D2" s="219"/>
      <x:c r="E2" s="219"/>
      <x:c r="F2" s="219"/>
      <x:c r="G2" s="219"/>
      <x:c r="H2" s="219"/>
    </x:row>
    <x:row r="3">
      <x:c r="A3" s="223" t="str">
        <x:v>Отвечено</x:v>
      </x:c>
      <x:c r="B3" s="223"/>
      <x:c r="C3" s="224" t="n">
        <x:f>SUM(AA5:AA600)</x:f>
        <x:v>0</x:v>
      </x:c>
      <x:c r="D3" s="223" t="str">
        <x:v>Правильно</x:v>
      </x:c>
      <x:c r="E3" s="223"/>
      <x:c r="F3" s="224" t="n">
        <x:f>SUM(Z5:Z600)</x:f>
        <x:v>0</x:v>
      </x:c>
      <x:c r="G3" s="223" t="str">
        <x:v>Результат</x:v>
      </x:c>
      <x:c r="H3" s="225" t="n">
        <x:f>IF(F3=0,0,F3/25)</x:f>
        <x:v>0</x:v>
      </x:c>
    </x:row>
    <x:row r="4" ht="10" customHeight="1"/>
    <x:row r="5" ht="24" customHeight="1">
      <x:c r="A5" s="228" t="str">
        <x:v>Вопрос 1 из 25</x:v>
      </x:c>
      <x:c r="B5" s="228"/>
      <x:c r="C5" s="228"/>
      <x:c r="D5" s="228"/>
      <x:c r="E5" s="228"/>
      <x:c r="F5" s="228"/>
      <x:c r="G5" s="228"/>
      <x:c r="H5" s="228"/>
    </x:row>
    <x:row r="6" ht="34" customHeight="1">
      <x:c r="A6" s="243" t="str">
        <x:v>Появление газа — это сигнал для того, чтобы...</x:v>
      </x:c>
      <x:c r="B6" s="244"/>
      <x:c r="C6" s="244"/>
      <x:c r="D6" s="244"/>
      <x:c r="E6" s="244"/>
      <x:c r="F6" s="244"/>
      <x:c r="G6" s="244"/>
      <x:c r="H6" s="245"/>
    </x:row>
    <x:row r="7" ht="34" customHeight="1">
      <x:c r="A7" s="246"/>
      <x:c r="B7" s="247"/>
      <x:c r="C7" s="247"/>
      <x:c r="D7" s="247"/>
      <x:c r="E7" s="247"/>
      <x:c r="F7" s="247"/>
      <x:c r="G7" s="247"/>
      <x:c r="H7" s="248"/>
    </x:row>
    <x:row r="8" ht="8" customHeight="1"/>
    <x:row r="9" ht="24" customHeight="1">
      <x:c r="A9" s="253" t="str">
        <x:v>A</x:v>
      </x:c>
      <x:c r="B9" s="99" t="str">
        <x:v>Удвоить плотность бурового раствора.</x:v>
      </x:c>
      <x:c r="C9" s="100"/>
      <x:c r="D9" s="100"/>
      <x:c r="E9" s="100"/>
      <x:c r="F9" s="100"/>
      <x:c r="G9" s="100"/>
      <x:c r="H9" s="101"/>
    </x:row>
    <x:row r="10" ht="24" customHeight="1">
      <x:c r="A10" s="253" t="str">
        <x:v>B</x:v>
      </x:c>
      <x:c r="B10" s="99" t="str">
        <x:v>Уменьшить плотность бурового раствора.</x:v>
      </x:c>
      <x:c r="C10" s="100"/>
      <x:c r="D10" s="100"/>
      <x:c r="E10" s="100"/>
      <x:c r="F10" s="100"/>
      <x:c r="G10" s="100"/>
      <x:c r="H10" s="101"/>
    </x:row>
    <x:row r="11" ht="24" customHeight="1">
      <x:c r="A11" s="253" t="str">
        <x:v>C</x:v>
      </x:c>
      <x:c r="B11" s="99" t="str">
        <x:v>Увеличить плотность бурового раствора на некоторую величину.</x:v>
      </x:c>
      <x:c r="C11" s="100"/>
      <x:c r="D11" s="100"/>
      <x:c r="E11" s="100"/>
      <x:c r="F11" s="100"/>
      <x:c r="G11" s="100"/>
      <x:c r="H11" s="101"/>
    </x:row>
    <x:row r="12" ht="24" customHeight="1">
      <x:c r="A12" s="253" t="str">
        <x:v>D</x:v>
      </x:c>
      <x:c r="B12" s="99" t="str">
        <x:v>Загерметизировать скважину и вызвать бурового мастера.</x:v>
      </x:c>
      <x:c r="C12" s="100"/>
      <x:c r="D12" s="100"/>
      <x:c r="E12" s="100"/>
      <x:c r="F12" s="100"/>
      <x:c r="G12" s="100"/>
      <x:c r="H12" s="101"/>
    </x:row>
    <x:row r="13" ht="8" customHeight="1"/>
    <x:row r="14" ht="28" customHeight="1">
      <x:c r="A14" s="258" t="str">
        <x:v>Ваш ответ:</x:v>
      </x:c>
      <x:c r="B14" s="259"/>
      <x:c r="C14" s="268"/>
      <x:c r="D14" s="269"/>
      <x:c r="E14" s="269"/>
      <x:c r="F14" s="269"/>
      <x:c r="G14" s="269"/>
      <x:c r="H14" s="270"/>
      <x:c r="Z14" t="n">
        <x:f>IF(C14="",0,IF(C14="C",1,0))</x:f>
        <x:v>0</x:v>
      </x:c>
      <x:c r="AA14" t="n">
        <x:f>IF(C14="",0,1)</x:f>
        <x:v>0</x:v>
      </x:c>
    </x:row>
    <x:row r="15" ht="8" customHeight="1"/>
    <x:row r="16" ht="30" customHeight="1">
      <x:c r="A16" s="343" t="str">
        <x:v>Комментарий:</x:v>
      </x:c>
      <x:c r="B16" s="344"/>
      <x:c r="C16" s="176" t="str">
        <x:f>IF(C14="","Выберите ответ.",IF(C14="A","Неверно. Этот вариант не соответствует ключу исходного теста. Правильный вариант: C.",IF(C14="B","Неверно. Этот вариант не соответствует ключу исходного теста. Правильный вариант: C.",IF(C14="C","Верно. Этот вариант соответствует ключу исходного теста.",IF(C14="D","Неверно.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16" s="177"/>
      <x:c r="E16" s="177"/>
      <x:c r="F16" s="177"/>
      <x:c r="G16" s="177"/>
      <x:c r="H16" s="178"/>
    </x:row>
    <x:row r="17" ht="30" customHeight="1">
      <x:c r="A17" s="345"/>
      <x:c r="B17" s="346"/>
      <x:c r="C17" s="179"/>
      <x:c r="D17" s="180"/>
      <x:c r="E17" s="180"/>
      <x:c r="F17" s="180"/>
      <x:c r="G17" s="180"/>
      <x:c r="H17" s="181"/>
    </x:row>
    <x:row r="19" ht="24" customHeight="1">
      <x:c r="A19" s="228" t="str">
        <x:v>Вопрос 2 из 25</x:v>
      </x:c>
      <x:c r="B19" s="228"/>
      <x:c r="C19" s="228"/>
      <x:c r="D19" s="228"/>
      <x:c r="E19" s="228"/>
      <x:c r="F19" s="228"/>
      <x:c r="G19" s="228"/>
      <x:c r="H19" s="228"/>
    </x:row>
    <x:row r="20" ht="34" customHeight="1">
      <x:c r="A20" s="243" t="str">
        <x:v>Какой из признаков свидетельствует о том, что происходит поступление флюида в скважину во время бурения?</x:v>
      </x:c>
      <x:c r="B20" s="244"/>
      <x:c r="C20" s="244"/>
      <x:c r="D20" s="244"/>
      <x:c r="E20" s="244"/>
      <x:c r="F20" s="244"/>
      <x:c r="G20" s="244"/>
      <x:c r="H20" s="245"/>
    </x:row>
    <x:row r="21" ht="34" customHeight="1">
      <x:c r="A21" s="246"/>
      <x:c r="B21" s="247"/>
      <x:c r="C21" s="247"/>
      <x:c r="D21" s="247"/>
      <x:c r="E21" s="247"/>
      <x:c r="F21" s="247"/>
      <x:c r="G21" s="247"/>
      <x:c r="H21" s="248"/>
    </x:row>
    <x:row r="22" ht="8" customHeight="1"/>
    <x:row r="23" ht="24" customHeight="1">
      <x:c r="A23" s="253" t="str">
        <x:v>A</x:v>
      </x:c>
      <x:c r="B23" s="99" t="str">
        <x:v>Увеличение расхода бурового раствора, выходящего из скважины.</x:v>
      </x:c>
      <x:c r="C23" s="100"/>
      <x:c r="D23" s="100"/>
      <x:c r="E23" s="100"/>
      <x:c r="F23" s="100"/>
      <x:c r="G23" s="100"/>
      <x:c r="H23" s="101"/>
    </x:row>
    <x:row r="24" ht="24" customHeight="1">
      <x:c r="A24" s="253" t="str">
        <x:v>B</x:v>
      </x:c>
      <x:c r="B24" s="99" t="str">
        <x:v>Увеличение давления на стояке и уменьшение числа ходов насоса.</x:v>
      </x:c>
      <x:c r="C24" s="100"/>
      <x:c r="D24" s="100"/>
      <x:c r="E24" s="100"/>
      <x:c r="F24" s="100"/>
      <x:c r="G24" s="100"/>
      <x:c r="H24" s="101"/>
    </x:row>
    <x:row r="25" ht="8" customHeight="1"/>
    <x:row r="26" ht="28" customHeight="1">
      <x:c r="A26" s="258" t="str">
        <x:v>Ваш ответ:</x:v>
      </x:c>
      <x:c r="B26" s="259"/>
      <x:c r="C26" s="268"/>
      <x:c r="D26" s="269"/>
      <x:c r="E26" s="269"/>
      <x:c r="F26" s="269"/>
      <x:c r="G26" s="269"/>
      <x:c r="H26" s="270"/>
      <x:c r="Z26" t="n">
        <x:f>IF(C26="",0,IF(C26="A",1,0))</x:f>
        <x:v>0</x:v>
      </x:c>
      <x:c r="AA26" t="n">
        <x:f>IF(C26="",0,1)</x:f>
        <x:v>0</x:v>
      </x:c>
    </x:row>
    <x:row r="27" ht="8" customHeight="1"/>
    <x:row r="28" ht="30" customHeight="1">
      <x:c r="A28" s="343" t="str">
        <x:v>Комментарий:</x:v>
      </x:c>
      <x:c r="B28" s="344"/>
      <x:c r="C28" s="176" t="str">
        <x:f>IF(C26="","Выберите ответ.",IF(C26="A","Верно. Этот вариант соответствует ключу исходного теста.",IF(C26="B","Неверно. Этот вариант не соответствует ключу исходного теста. Правильный вариант: A.","Неверно. Ответ не распознан. Правильный вариант: A.")))</x:f>
        <x:v>Выберите ответ.</x:v>
      </x:c>
      <x:c r="D28" s="177"/>
      <x:c r="E28" s="177"/>
      <x:c r="F28" s="177"/>
      <x:c r="G28" s="177"/>
      <x:c r="H28" s="178"/>
    </x:row>
    <x:row r="29" ht="30" customHeight="1">
      <x:c r="A29" s="345"/>
      <x:c r="B29" s="346"/>
      <x:c r="C29" s="179"/>
      <x:c r="D29" s="180"/>
      <x:c r="E29" s="180"/>
      <x:c r="F29" s="180"/>
      <x:c r="G29" s="180"/>
      <x:c r="H29" s="181"/>
    </x:row>
    <x:row r="31" ht="24" customHeight="1">
      <x:c r="A31" s="228" t="str">
        <x:v>Вопрос 3 из 25</x:v>
      </x:c>
      <x:c r="B31" s="228"/>
      <x:c r="C31" s="228"/>
      <x:c r="D31" s="228"/>
      <x:c r="E31" s="228"/>
      <x:c r="F31" s="228"/>
      <x:c r="G31" s="228"/>
      <x:c r="H31" s="228"/>
    </x:row>
    <x:row r="32" ht="48" customHeight="1">
      <x:c r="A32" s="243" t="str">
        <x:v>Если во время остановки процесса бурения произошло увеличение расхода выходящего потока бурового раствора из скважины, то каковы должны быть действия бурильщика?</x:v>
      </x:c>
      <x:c r="B32" s="244"/>
      <x:c r="C32" s="244"/>
      <x:c r="D32" s="244"/>
      <x:c r="E32" s="244"/>
      <x:c r="F32" s="244"/>
      <x:c r="G32" s="244"/>
      <x:c r="H32" s="245"/>
    </x:row>
    <x:row r="33" ht="48" customHeight="1">
      <x:c r="A33" s="246"/>
      <x:c r="B33" s="247"/>
      <x:c r="C33" s="247"/>
      <x:c r="D33" s="247"/>
      <x:c r="E33" s="247"/>
      <x:c r="F33" s="247"/>
      <x:c r="G33" s="247"/>
      <x:c r="H33" s="248"/>
    </x:row>
    <x:row r="34" ht="8" customHeight="1"/>
    <x:row r="35" ht="24" customHeight="1">
      <x:c r="A35" s="253" t="str">
        <x:v>A</x:v>
      </x:c>
      <x:c r="B35" s="99" t="str">
        <x:v>1. Приподнять ведущую трубу буровой колонны.</x:v>
      </x:c>
      <x:c r="C35" s="100"/>
      <x:c r="D35" s="100"/>
      <x:c r="E35" s="100"/>
      <x:c r="F35" s="100"/>
      <x:c r="G35" s="100"/>
      <x:c r="H35" s="101"/>
    </x:row>
    <x:row r="36" ht="24" customHeight="1">
      <x:c r="A36" s="253" t="str">
        <x:v>B</x:v>
      </x:c>
      <x:c r="B36" s="99" t="str">
        <x:v>2. Выключить насос.</x:v>
      </x:c>
      <x:c r="C36" s="100"/>
      <x:c r="D36" s="100"/>
      <x:c r="E36" s="100"/>
      <x:c r="F36" s="100"/>
      <x:c r="G36" s="100"/>
      <x:c r="H36" s="101"/>
    </x:row>
    <x:row r="37" ht="24" customHeight="1">
      <x:c r="A37" s="253" t="str">
        <x:v>C</x:v>
      </x:c>
      <x:c r="B37" s="99" t="str">
        <x:v>3. Проверить происходит ли движение жидкости из скважины, если да, то закрыть ее.</x:v>
      </x:c>
      <x:c r="C37" s="100"/>
      <x:c r="D37" s="100"/>
      <x:c r="E37" s="100"/>
      <x:c r="F37" s="100"/>
      <x:c r="G37" s="100"/>
      <x:c r="H37" s="101"/>
    </x:row>
    <x:row r="38" ht="24" customHeight="1">
      <x:c r="A38" s="253" t="str">
        <x:v>D</x:v>
      </x:c>
      <x:c r="B38" s="99" t="str">
        <x:v>4. Все вышеперечисленные действия.</x:v>
      </x:c>
      <x:c r="C38" s="100"/>
      <x:c r="D38" s="100"/>
      <x:c r="E38" s="100"/>
      <x:c r="F38" s="100"/>
      <x:c r="G38" s="100"/>
      <x:c r="H38" s="101"/>
    </x:row>
    <x:row r="39" ht="8" customHeight="1"/>
    <x:row r="40" ht="28" customHeight="1">
      <x:c r="A40" s="258" t="str">
        <x:v>Ваш ответ:</x:v>
      </x:c>
      <x:c r="B40" s="259"/>
      <x:c r="C40" s="268"/>
      <x:c r="D40" s="269"/>
      <x:c r="E40" s="269"/>
      <x:c r="F40" s="269"/>
      <x:c r="G40" s="269"/>
      <x:c r="H40" s="270"/>
      <x:c r="Z40" t="n">
        <x:f>IF(C40="",0,IF(C40="D",1,0))</x:f>
        <x:v>0</x:v>
      </x:c>
      <x:c r="AA40" t="n">
        <x:f>IF(C40="",0,1)</x:f>
        <x:v>0</x:v>
      </x:c>
    </x:row>
    <x:row r="41" ht="8" customHeight="1"/>
    <x:row r="42" ht="30" customHeight="1">
      <x:c r="A42" s="343" t="str">
        <x:v>Комментарий:</x:v>
      </x:c>
      <x:c r="B42" s="344"/>
      <x:c r="C42" s="176" t="str">
        <x:f>IF(C40="","Выберите ответ.",IF(C40="A","Неверно. Этот вариант не соответствует ключу исходного теста. Правильный вариант: D.",IF(C40="B","Неверно. Этот вариант не соответствует ключу исходного теста. Правильный вариант: D.",IF(C40="C","Неверно. Этот вариант не соответствует ключу исходного теста. Правильный вариант: D.",IF(C40="D","Верно. Этот вариант соответствует ключу исходного теста.","Неверно. Ответ не распознан. Правильный вариант: D.")))))</x:f>
        <x:v>Выберите ответ.</x:v>
      </x:c>
      <x:c r="D42" s="177"/>
      <x:c r="E42" s="177"/>
      <x:c r="F42" s="177"/>
      <x:c r="G42" s="177"/>
      <x:c r="H42" s="178"/>
    </x:row>
    <x:row r="43" ht="30" customHeight="1">
      <x:c r="A43" s="345"/>
      <x:c r="B43" s="346"/>
      <x:c r="C43" s="179"/>
      <x:c r="D43" s="180"/>
      <x:c r="E43" s="180"/>
      <x:c r="F43" s="180"/>
      <x:c r="G43" s="180"/>
      <x:c r="H43" s="181"/>
    </x:row>
    <x:row r="45" ht="24" customHeight="1">
      <x:c r="A45" s="228" t="str">
        <x:v>Вопрос 4 из 25</x:v>
      </x:c>
      <x:c r="B45" s="228"/>
      <x:c r="C45" s="228"/>
      <x:c r="D45" s="228"/>
      <x:c r="E45" s="228"/>
      <x:c r="F45" s="228"/>
      <x:c r="G45" s="228"/>
      <x:c r="H45" s="228"/>
    </x:row>
    <x:row r="46" ht="34" customHeight="1">
      <x:c r="A46" s="243" t="str">
        <x:v>Какие ваши действия в случае «мягкой» герметизации во время спуска/подъёма труб?</x:v>
      </x:c>
      <x:c r="B46" s="244"/>
      <x:c r="C46" s="244"/>
      <x:c r="D46" s="244"/>
      <x:c r="E46" s="244"/>
      <x:c r="F46" s="244"/>
      <x:c r="G46" s="244"/>
      <x:c r="H46" s="245"/>
    </x:row>
    <x:row r="47" ht="34" customHeight="1">
      <x:c r="A47" s="246"/>
      <x:c r="B47" s="247"/>
      <x:c r="C47" s="247"/>
      <x:c r="D47" s="247"/>
      <x:c r="E47" s="247"/>
      <x:c r="F47" s="247"/>
      <x:c r="G47" s="247"/>
      <x:c r="H47" s="248"/>
    </x:row>
    <x:row r="48" ht="8" customHeight="1"/>
    <x:row r="49" ht="38" customHeight="1">
      <x:c r="A49" s="253" t="str">
        <x:v>A</x:v>
      </x:c>
      <x:c r="B49" s="99" t="str">
        <x:v>Навернуть полностью открытый КШЦ, затем закрыть его, открыть гидроуправляемую задвижку и закрыть превентор, закрыть дроссель и задвижку перед дросселем.</x:v>
      </x:c>
      <x:c r="C49" s="100"/>
      <x:c r="D49" s="100"/>
      <x:c r="E49" s="100"/>
      <x:c r="F49" s="100"/>
      <x:c r="G49" s="100"/>
      <x:c r="H49" s="101"/>
    </x:row>
    <x:row r="50" ht="24" customHeight="1">
      <x:c r="A50" s="253" t="str">
        <x:v>B</x:v>
      </x:c>
      <x:c r="B50" s="99" t="str">
        <x:v>Закрыть превентор и навернуть обратный клапан, открыть дроссель и закрыть гидроуправляемую задвижку.</x:v>
      </x:c>
      <x:c r="C50" s="100"/>
      <x:c r="D50" s="100"/>
      <x:c r="E50" s="100"/>
      <x:c r="F50" s="100"/>
      <x:c r="G50" s="100"/>
      <x:c r="H50" s="101"/>
    </x:row>
    <x:row r="51" ht="24" customHeight="1">
      <x:c r="A51" s="253" t="str">
        <x:v>C</x:v>
      </x:c>
      <x:c r="B51" s="99" t="str">
        <x:v>Закрыть КШЦ, затем навернуть его, закрыть превентор, закрыть дроссель.</x:v>
      </x:c>
      <x:c r="C51" s="100"/>
      <x:c r="D51" s="100"/>
      <x:c r="E51" s="100"/>
      <x:c r="F51" s="100"/>
      <x:c r="G51" s="100"/>
      <x:c r="H51" s="101"/>
    </x:row>
    <x:row r="52" ht="24" customHeight="1">
      <x:c r="A52" s="253" t="str">
        <x:v>D</x:v>
      </x:c>
      <x:c r="B52" s="99" t="str">
        <x:v>Открыть гидроуправляемую задвижку, закрыть превентор и дроссель.</x:v>
      </x:c>
      <x:c r="C52" s="100"/>
      <x:c r="D52" s="100"/>
      <x:c r="E52" s="100"/>
      <x:c r="F52" s="100"/>
      <x:c r="G52" s="100"/>
      <x:c r="H52" s="101"/>
    </x:row>
    <x:row r="53" ht="8" customHeight="1"/>
    <x:row r="54" ht="28" customHeight="1">
      <x:c r="A54" s="258" t="str">
        <x:v>Ваш ответ:</x:v>
      </x:c>
      <x:c r="B54" s="259"/>
      <x:c r="C54" s="268"/>
      <x:c r="D54" s="269"/>
      <x:c r="E54" s="269"/>
      <x:c r="F54" s="269"/>
      <x:c r="G54" s="269"/>
      <x:c r="H54" s="270"/>
      <x:c r="Z54" t="n">
        <x:f>IF(C54="",0,IF(C54="A",1,0))</x:f>
        <x:v>0</x:v>
      </x:c>
      <x:c r="AA54" t="n">
        <x:f>IF(C54="",0,1)</x:f>
        <x:v>0</x:v>
      </x:c>
    </x:row>
    <x:row r="55" ht="8" customHeight="1"/>
    <x:row r="56" ht="30" customHeight="1">
      <x:c r="A56" s="343" t="str">
        <x:v>Комментарий:</x:v>
      </x:c>
      <x:c r="B56" s="344"/>
      <x:c r="C56" s="176" t="str">
        <x:f>IF(C54="","Выберите ответ.",IF(C54="A","Верно. Этот вариант соответствует ключу исходного теста.",IF(C54="B","Неверно. Этот вариант не соответствует ключу исходного теста. Правильный вариант: A.",IF(C54="C","Неверно. Этот вариант не соответствует ключу исходного теста. Правильный вариант: A.",IF(C54="D","Неверно. Этот вариант не соответствует ключу исходного теста. Правильный вариант: A.","Неверно. Ответ не распознан. Правильный вариант: A.")))))</x:f>
        <x:v>Выберите ответ.</x:v>
      </x:c>
      <x:c r="D56" s="177"/>
      <x:c r="E56" s="177"/>
      <x:c r="F56" s="177"/>
      <x:c r="G56" s="177"/>
      <x:c r="H56" s="178"/>
    </x:row>
    <x:row r="57" ht="30" customHeight="1">
      <x:c r="A57" s="345"/>
      <x:c r="B57" s="346"/>
      <x:c r="C57" s="179"/>
      <x:c r="D57" s="180"/>
      <x:c r="E57" s="180"/>
      <x:c r="F57" s="180"/>
      <x:c r="G57" s="180"/>
      <x:c r="H57" s="181"/>
    </x:row>
    <x:row r="59" ht="24" customHeight="1">
      <x:c r="A59" s="228" t="str">
        <x:v>Вопрос 5 из 25</x:v>
      </x:c>
      <x:c r="B59" s="228"/>
      <x:c r="C59" s="228"/>
      <x:c r="D59" s="228"/>
      <x:c r="E59" s="228"/>
      <x:c r="F59" s="228"/>
      <x:c r="G59" s="228"/>
      <x:c r="H59" s="228"/>
    </x:row>
    <x:row r="60" ht="34" customHeight="1">
      <x:c r="A60" s="243" t="str">
        <x:v>Произошло ГНВП. В бурильной колонне установлен обратный клапан, что вы будете делать?</x:v>
      </x:c>
      <x:c r="B60" s="244"/>
      <x:c r="C60" s="244"/>
      <x:c r="D60" s="244"/>
      <x:c r="E60" s="244"/>
      <x:c r="F60" s="244"/>
      <x:c r="G60" s="244"/>
      <x:c r="H60" s="245"/>
    </x:row>
    <x:row r="61" ht="34" customHeight="1">
      <x:c r="A61" s="246"/>
      <x:c r="B61" s="247"/>
      <x:c r="C61" s="247"/>
      <x:c r="D61" s="247"/>
      <x:c r="E61" s="247"/>
      <x:c r="F61" s="247"/>
      <x:c r="G61" s="247"/>
      <x:c r="H61" s="248"/>
    </x:row>
    <x:row r="62" ht="8" customHeight="1"/>
    <x:row r="63" ht="24" customHeight="1">
      <x:c r="A63" s="253" t="str">
        <x:v>A</x:v>
      </x:c>
      <x:c r="B63" s="99" t="str">
        <x:v>Используя значение давления в затрубном пространстве при закрытой скважине, начать закачку бурового раствора для глушения.</x:v>
      </x:c>
      <x:c r="C63" s="100"/>
      <x:c r="D63" s="100"/>
      <x:c r="E63" s="100"/>
      <x:c r="F63" s="100"/>
      <x:c r="G63" s="100"/>
      <x:c r="H63" s="101"/>
    </x:row>
    <x:row r="64" ht="24" customHeight="1">
      <x:c r="A64" s="253" t="str">
        <x:v>B</x:v>
      </x:c>
      <x:c r="B64" s="99" t="str">
        <x:v>Увеличивать плотность бурового раствора ступенчато по 0,15 г/см³ до тех пор, пока скважина не будет заглушена.</x:v>
      </x:c>
      <x:c r="C64" s="100"/>
      <x:c r="D64" s="100"/>
      <x:c r="E64" s="100"/>
      <x:c r="F64" s="100"/>
      <x:c r="G64" s="100"/>
      <x:c r="H64" s="101"/>
    </x:row>
    <x:row r="65" ht="38" customHeight="1">
      <x:c r="A65" s="253" t="str">
        <x:v>C</x:v>
      </x:c>
      <x:c r="B65" s="99" t="str">
        <x:v>Медленно начать циркуляцию либо до стабилизации давления в бурильных трубах, либо до увеличения давления в затрубном пространстве с целью определения давления в бурильных трубах закрытой скважины.</x:v>
      </x:c>
      <x:c r="C65" s="100"/>
      <x:c r="D65" s="100"/>
      <x:c r="E65" s="100"/>
      <x:c r="F65" s="100"/>
      <x:c r="G65" s="100"/>
      <x:c r="H65" s="101"/>
    </x:row>
    <x:row r="66" ht="24" customHeight="1">
      <x:c r="A66" s="253" t="str">
        <x:v>D</x:v>
      </x:c>
      <x:c r="B66" s="99" t="str">
        <x:v>Бросить в бурильные трубы штангу для открытия обратного клапана.</x:v>
      </x:c>
      <x:c r="C66" s="100"/>
      <x:c r="D66" s="100"/>
      <x:c r="E66" s="100"/>
      <x:c r="F66" s="100"/>
      <x:c r="G66" s="100"/>
      <x:c r="H66" s="101"/>
    </x:row>
    <x:row r="67" ht="8" customHeight="1"/>
    <x:row r="68" ht="28" customHeight="1">
      <x:c r="A68" s="258" t="str">
        <x:v>Ваш ответ:</x:v>
      </x:c>
      <x:c r="B68" s="259"/>
      <x:c r="C68" s="268"/>
      <x:c r="D68" s="269"/>
      <x:c r="E68" s="269"/>
      <x:c r="F68" s="269"/>
      <x:c r="G68" s="269"/>
      <x:c r="H68" s="270"/>
      <x:c r="Z68" t="n">
        <x:f>IF(C68="",0,IF(C68="C",1,0))</x:f>
        <x:v>0</x:v>
      </x:c>
      <x:c r="AA68" t="n">
        <x:f>IF(C68="",0,1)</x:f>
        <x:v>0</x:v>
      </x:c>
    </x:row>
    <x:row r="69" ht="8" customHeight="1"/>
    <x:row r="70" ht="30" customHeight="1">
      <x:c r="A70" s="343" t="str">
        <x:v>Комментарий:</x:v>
      </x:c>
      <x:c r="B70" s="344"/>
      <x:c r="C70" s="176" t="str">
        <x:f>IF(C68="","Выберите ответ.",IF(C68="A","Неверно. Этот вариант не соответствует ключу исходного теста. Правильный вариант: C.",IF(C68="B","Неверно. Этот вариант не соответствует ключу исходного теста. Правильный вариант: C.",IF(C68="C","Верно. Этот вариант соответствует ключу исходного теста.",IF(C68="D","Неверно.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70" s="177"/>
      <x:c r="E70" s="177"/>
      <x:c r="F70" s="177"/>
      <x:c r="G70" s="177"/>
      <x:c r="H70" s="178"/>
    </x:row>
    <x:row r="71" ht="30" customHeight="1">
      <x:c r="A71" s="345"/>
      <x:c r="B71" s="346"/>
      <x:c r="C71" s="179"/>
      <x:c r="D71" s="180"/>
      <x:c r="E71" s="180"/>
      <x:c r="F71" s="180"/>
      <x:c r="G71" s="180"/>
      <x:c r="H71" s="181"/>
    </x:row>
    <x:row r="73" ht="24" customHeight="1">
      <x:c r="A73" s="228" t="str">
        <x:v>Вопрос 6 из 25</x:v>
      </x:c>
      <x:c r="B73" s="228"/>
      <x:c r="C73" s="228"/>
      <x:c r="D73" s="228"/>
      <x:c r="E73" s="228"/>
      <x:c r="F73" s="228"/>
      <x:c r="G73" s="228"/>
      <x:c r="H73" s="228"/>
    </x:row>
    <x:row r="74" ht="34" customHeight="1">
      <x:c r="A74" s="243" t="str">
        <x:v>Назовите одну из главных мер предупреждения ГНВП в процессе эксплуатации скважин.</x:v>
      </x:c>
      <x:c r="B74" s="244"/>
      <x:c r="C74" s="244"/>
      <x:c r="D74" s="244"/>
      <x:c r="E74" s="244"/>
      <x:c r="F74" s="244"/>
      <x:c r="G74" s="244"/>
      <x:c r="H74" s="245"/>
    </x:row>
    <x:row r="75" ht="34" customHeight="1">
      <x:c r="A75" s="246"/>
      <x:c r="B75" s="247"/>
      <x:c r="C75" s="247"/>
      <x:c r="D75" s="247"/>
      <x:c r="E75" s="247"/>
      <x:c r="F75" s="247"/>
      <x:c r="G75" s="247"/>
      <x:c r="H75" s="248"/>
    </x:row>
    <x:row r="76" ht="8" customHeight="1"/>
    <x:row r="77" ht="24" customHeight="1">
      <x:c r="A77" s="253" t="str">
        <x:v>A</x:v>
      </x:c>
      <x:c r="B77" s="99" t="str">
        <x:v>Ежедневный объезд всего фонда скважин.</x:v>
      </x:c>
      <x:c r="C77" s="100"/>
      <x:c r="D77" s="100"/>
      <x:c r="E77" s="100"/>
      <x:c r="F77" s="100"/>
      <x:c r="G77" s="100"/>
      <x:c r="H77" s="101"/>
    </x:row>
    <x:row r="78" ht="24" customHeight="1">
      <x:c r="A78" s="253" t="str">
        <x:v>B</x:v>
      </x:c>
      <x:c r="B78" s="99" t="str">
        <x:v>Эксплуатация скважин без превышения назначенного технологического режима.</x:v>
      </x:c>
      <x:c r="C78" s="100"/>
      <x:c r="D78" s="100"/>
      <x:c r="E78" s="100"/>
      <x:c r="F78" s="100"/>
      <x:c r="G78" s="100"/>
      <x:c r="H78" s="101"/>
    </x:row>
    <x:row r="79" ht="24" customHeight="1">
      <x:c r="A79" s="253" t="str">
        <x:v>C</x:v>
      </x:c>
      <x:c r="B79" s="99" t="str">
        <x:v>Периодическая эксплуатация скважин.</x:v>
      </x:c>
      <x:c r="C79" s="100"/>
      <x:c r="D79" s="100"/>
      <x:c r="E79" s="100"/>
      <x:c r="F79" s="100"/>
      <x:c r="G79" s="100"/>
      <x:c r="H79" s="101"/>
    </x:row>
    <x:row r="80" ht="8" customHeight="1"/>
    <x:row r="81" ht="28" customHeight="1">
      <x:c r="A81" s="258" t="str">
        <x:v>Ваш ответ:</x:v>
      </x:c>
      <x:c r="B81" s="259"/>
      <x:c r="C81" s="268"/>
      <x:c r="D81" s="269"/>
      <x:c r="E81" s="269"/>
      <x:c r="F81" s="269"/>
      <x:c r="G81" s="269"/>
      <x:c r="H81" s="270"/>
      <x:c r="Z81" t="n">
        <x:f>IF(C81="",0,IF(C81="B",1,0))</x:f>
        <x:v>0</x:v>
      </x:c>
      <x:c r="AA81" t="n">
        <x:f>IF(C81="",0,1)</x:f>
        <x:v>0</x:v>
      </x:c>
    </x:row>
    <x:row r="82" ht="8" customHeight="1"/>
    <x:row r="83" ht="30" customHeight="1">
      <x:c r="A83" s="343" t="str">
        <x:v>Комментарий:</x:v>
      </x:c>
      <x:c r="B83" s="344"/>
      <x:c r="C83" s="176" t="str">
        <x:f>IF(C81="","Выберите ответ.",IF(C81="A","Неверно. Этот вариант не соответствует ключу исходного теста. Правильный вариант: B.",IF(C81="B","Верно. Этот вариант соответствует ключу исходного теста.",IF(C81="C","Неверно. Этот вариант не соответствует ключу исходного теста. Правильный вариант: B.","Неверно. Ответ не распознан. Правильный вариант: B."))))</x:f>
        <x:v>Выберите ответ.</x:v>
      </x:c>
      <x:c r="D83" s="177"/>
      <x:c r="E83" s="177"/>
      <x:c r="F83" s="177"/>
      <x:c r="G83" s="177"/>
      <x:c r="H83" s="178"/>
    </x:row>
    <x:row r="84" ht="30" customHeight="1">
      <x:c r="A84" s="345"/>
      <x:c r="B84" s="346"/>
      <x:c r="C84" s="179"/>
      <x:c r="D84" s="180"/>
      <x:c r="E84" s="180"/>
      <x:c r="F84" s="180"/>
      <x:c r="G84" s="180"/>
      <x:c r="H84" s="181"/>
    </x:row>
    <x:row r="86" ht="24" customHeight="1">
      <x:c r="A86" s="228" t="str">
        <x:v>Вопрос 7 из 25</x:v>
      </x:c>
      <x:c r="B86" s="228"/>
      <x:c r="C86" s="228"/>
      <x:c r="D86" s="228"/>
      <x:c r="E86" s="228"/>
      <x:c r="F86" s="228"/>
      <x:c r="G86" s="228"/>
      <x:c r="H86" s="228"/>
    </x:row>
    <x:row r="87" ht="62" customHeight="1">
      <x:c r="A87" s="243" t="str">
        <x:v>Скважина закрыта в связи с ГНВП. Во время утяжеления бурового раствора до задавочной величины давления в бурильных трубах и обсадной колонне увеличились из-за миграции газа. Как лучше управлять ГНВП до тех пор, пока не будет готов задавочный буровой раствор?</x:v>
      </x:c>
      <x:c r="B87" s="244"/>
      <x:c r="C87" s="244"/>
      <x:c r="D87" s="244"/>
      <x:c r="E87" s="244"/>
      <x:c r="F87" s="244"/>
      <x:c r="G87" s="244"/>
      <x:c r="H87" s="245"/>
    </x:row>
    <x:row r="88" ht="62" customHeight="1">
      <x:c r="A88" s="246"/>
      <x:c r="B88" s="247"/>
      <x:c r="C88" s="247"/>
      <x:c r="D88" s="247"/>
      <x:c r="E88" s="247"/>
      <x:c r="F88" s="247"/>
      <x:c r="G88" s="247"/>
      <x:c r="H88" s="248"/>
    </x:row>
    <x:row r="89" ht="8" customHeight="1"/>
    <x:row r="90" ht="24" customHeight="1">
      <x:c r="A90" s="253" t="str">
        <x:v>A</x:v>
      </x:c>
      <x:c r="B90" s="99" t="str">
        <x:v>Держать скважину закрытой; нет никакого риска до тех пор, пока не достигнуто допустимое давление в затрубном пространстве.</x:v>
      </x:c>
      <x:c r="C90" s="100"/>
      <x:c r="D90" s="100"/>
      <x:c r="E90" s="100"/>
      <x:c r="F90" s="100"/>
      <x:c r="G90" s="100"/>
      <x:c r="H90" s="101"/>
    </x:row>
    <x:row r="91" ht="24" customHeight="1">
      <x:c r="A91" s="253" t="str">
        <x:v>B</x:v>
      </x:c>
      <x:c r="B91" s="99" t="str">
        <x:v>Поддерживать постоянным давление в затрубном пространстве путем сброса бурового раствора через дроссель.</x:v>
      </x:c>
      <x:c r="C91" s="100"/>
      <x:c r="D91" s="100"/>
      <x:c r="E91" s="100"/>
      <x:c r="F91" s="100"/>
      <x:c r="G91" s="100"/>
      <x:c r="H91" s="101"/>
    </x:row>
    <x:row r="92" ht="24" customHeight="1">
      <x:c r="A92" s="253" t="str">
        <x:v>C</x:v>
      </x:c>
      <x:c r="B92" s="99" t="str">
        <x:v>Поддерживать давление в бурильных трубах постоянным, сбрасывая буровой раствор через дроссель.</x:v>
      </x:c>
      <x:c r="C92" s="100"/>
      <x:c r="D92" s="100"/>
      <x:c r="E92" s="100"/>
      <x:c r="F92" s="100"/>
      <x:c r="G92" s="100"/>
      <x:c r="H92" s="101"/>
    </x:row>
    <x:row r="93" ht="24" customHeight="1">
      <x:c r="A93" s="253" t="str">
        <x:v>D</x:v>
      </x:c>
      <x:c r="B93" s="99" t="str">
        <x:v>Стравливать давление в бурильных трубах через манифольд, поддерживать его постоянным.</x:v>
      </x:c>
      <x:c r="C93" s="100"/>
      <x:c r="D93" s="100"/>
      <x:c r="E93" s="100"/>
      <x:c r="F93" s="100"/>
      <x:c r="G93" s="100"/>
      <x:c r="H93" s="101"/>
    </x:row>
    <x:row r="94" ht="8" customHeight="1"/>
    <x:row r="95" ht="28" customHeight="1">
      <x:c r="A95" s="258" t="str">
        <x:v>Ваш ответ:</x:v>
      </x:c>
      <x:c r="B95" s="259"/>
      <x:c r="C95" s="268"/>
      <x:c r="D95" s="269"/>
      <x:c r="E95" s="269"/>
      <x:c r="F95" s="269"/>
      <x:c r="G95" s="269"/>
      <x:c r="H95" s="270"/>
      <x:c r="Z95" t="n">
        <x:f>IF(C95="",0,IF(C95="C",1,0))</x:f>
        <x:v>0</x:v>
      </x:c>
      <x:c r="AA95" t="n">
        <x:f>IF(C95="",0,1)</x:f>
        <x:v>0</x:v>
      </x:c>
    </x:row>
    <x:row r="96" ht="8" customHeight="1"/>
    <x:row r="97" ht="30" customHeight="1">
      <x:c r="A97" s="343" t="str">
        <x:v>Комментарий:</x:v>
      </x:c>
      <x:c r="B97" s="344"/>
      <x:c r="C97" s="176" t="str">
        <x:f>IF(C95="","Выберите ответ.",IF(C95="A","Неверно. Этот вариант не соответствует ключу исходного теста. Правильный вариант: C.",IF(C95="B","Неверно. Этот вариант не соответствует ключу исходного теста. Правильный вариант: C.",IF(C95="C","Верно. Этот вариант соответствует ключу исходного теста.",IF(C95="D","Неверно.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97" s="177"/>
      <x:c r="E97" s="177"/>
      <x:c r="F97" s="177"/>
      <x:c r="G97" s="177"/>
      <x:c r="H97" s="178"/>
    </x:row>
    <x:row r="98" ht="30" customHeight="1">
      <x:c r="A98" s="345"/>
      <x:c r="B98" s="346"/>
      <x:c r="C98" s="179"/>
      <x:c r="D98" s="180"/>
      <x:c r="E98" s="180"/>
      <x:c r="F98" s="180"/>
      <x:c r="G98" s="180"/>
      <x:c r="H98" s="181"/>
    </x:row>
    <x:row r="100" ht="24" customHeight="1">
      <x:c r="A100" s="228" t="str">
        <x:v>Вопрос 8 из 25</x:v>
      </x:c>
      <x:c r="B100" s="228"/>
      <x:c r="C100" s="228"/>
      <x:c r="D100" s="228"/>
      <x:c r="E100" s="228"/>
      <x:c r="F100" s="228"/>
      <x:c r="G100" s="228"/>
      <x:c r="H100" s="228"/>
    </x:row>
    <x:row r="101" ht="48" customHeight="1">
      <x:c r="A101" s="243" t="str">
        <x:v>Если давление в бурильных трубах в закрытой скважине равно 15 атм при объёме проявления 0,79 м³, то каково будет это давление при объёме 2,38 м³?</x:v>
      </x:c>
      <x:c r="B101" s="244"/>
      <x:c r="C101" s="244"/>
      <x:c r="D101" s="244"/>
      <x:c r="E101" s="244"/>
      <x:c r="F101" s="244"/>
      <x:c r="G101" s="244"/>
      <x:c r="H101" s="245"/>
    </x:row>
    <x:row r="102" ht="48" customHeight="1">
      <x:c r="A102" s="246"/>
      <x:c r="B102" s="247"/>
      <x:c r="C102" s="247"/>
      <x:c r="D102" s="247"/>
      <x:c r="E102" s="247"/>
      <x:c r="F102" s="247"/>
      <x:c r="G102" s="247"/>
      <x:c r="H102" s="248"/>
    </x:row>
    <x:row r="103" ht="8" customHeight="1"/>
    <x:row r="104" ht="24" customHeight="1">
      <x:c r="A104" s="253" t="str">
        <x:v>A</x:v>
      </x:c>
      <x:c r="B104" s="99" t="str">
        <x:v>Выше.</x:v>
      </x:c>
      <x:c r="C104" s="100"/>
      <x:c r="D104" s="100"/>
      <x:c r="E104" s="100"/>
      <x:c r="F104" s="100"/>
      <x:c r="G104" s="100"/>
      <x:c r="H104" s="101"/>
    </x:row>
    <x:row r="105" ht="24" customHeight="1">
      <x:c r="A105" s="253" t="str">
        <x:v>B</x:v>
      </x:c>
      <x:c r="B105" s="99" t="str">
        <x:v>Ниже.</x:v>
      </x:c>
      <x:c r="C105" s="100"/>
      <x:c r="D105" s="100"/>
      <x:c r="E105" s="100"/>
      <x:c r="F105" s="100"/>
      <x:c r="G105" s="100"/>
      <x:c r="H105" s="101"/>
    </x:row>
    <x:row r="106" ht="24" customHeight="1">
      <x:c r="A106" s="253" t="str">
        <x:v>C</x:v>
      </x:c>
      <x:c r="B106" s="99" t="str">
        <x:v>То же самое.</x:v>
      </x:c>
      <x:c r="C106" s="100"/>
      <x:c r="D106" s="100"/>
      <x:c r="E106" s="100"/>
      <x:c r="F106" s="100"/>
      <x:c r="G106" s="100"/>
      <x:c r="H106" s="101"/>
    </x:row>
    <x:row r="107" ht="8" customHeight="1"/>
    <x:row r="108" ht="28" customHeight="1">
      <x:c r="A108" s="258" t="str">
        <x:v>Ваш ответ:</x:v>
      </x:c>
      <x:c r="B108" s="259"/>
      <x:c r="C108" s="268"/>
      <x:c r="D108" s="269"/>
      <x:c r="E108" s="269"/>
      <x:c r="F108" s="269"/>
      <x:c r="G108" s="269"/>
      <x:c r="H108" s="270"/>
      <x:c r="Z108" t="n">
        <x:f>IF(C108="",0,IF(C108="C",1,0))</x:f>
        <x:v>0</x:v>
      </x:c>
      <x:c r="AA108" t="n">
        <x:f>IF(C108="",0,1)</x:f>
        <x:v>0</x:v>
      </x:c>
    </x:row>
    <x:row r="109" ht="8" customHeight="1"/>
    <x:row r="110" ht="30" customHeight="1">
      <x:c r="A110" s="343" t="str">
        <x:v>Комментарий:</x:v>
      </x:c>
      <x:c r="B110" s="344"/>
      <x:c r="C110" s="176" t="str">
        <x:f>IF(C108="","Выберите ответ.",IF(C108="A","Неверно. Этот вариант не соответствует ключу исходного теста. Правильный вариант: C.",IF(C108="B","Неверно. Этот вариант не соответствует ключу исходного теста. Правильный вариант: C.",IF(C108="C","Верно. Этот вариант соответствует ключу исходного теста.","Неверно. Ответ не распознан. Правильный вариант: C."))))</x:f>
        <x:v>Выберите ответ.</x:v>
      </x:c>
      <x:c r="D110" s="177"/>
      <x:c r="E110" s="177"/>
      <x:c r="F110" s="177"/>
      <x:c r="G110" s="177"/>
      <x:c r="H110" s="178"/>
    </x:row>
    <x:row r="111" ht="30" customHeight="1">
      <x:c r="A111" s="345"/>
      <x:c r="B111" s="346"/>
      <x:c r="C111" s="179"/>
      <x:c r="D111" s="180"/>
      <x:c r="E111" s="180"/>
      <x:c r="F111" s="180"/>
      <x:c r="G111" s="180"/>
      <x:c r="H111" s="181"/>
    </x:row>
    <x:row r="113" ht="24" customHeight="1">
      <x:c r="A113" s="228" t="str">
        <x:v>Вопрос 9 из 25</x:v>
      </x:c>
      <x:c r="B113" s="228"/>
      <x:c r="C113" s="228"/>
      <x:c r="D113" s="228"/>
      <x:c r="E113" s="228"/>
      <x:c r="F113" s="228"/>
      <x:c r="G113" s="228"/>
      <x:c r="H113" s="228"/>
    </x:row>
    <x:row r="114" ht="62" customHeight="1">
      <x:c r="A114" s="243" t="str">
        <x:v>Исходные данные: плотность бурового раствора 1,42 г/см³, градиент пластового давления 0,059 атм/м, устьевое давление в бурильных трубах при закрытой скважине 31 атм, скважина закрыта с притоком газовой пачки высотой по стволу скважины 150 м. Определите устьевое давление в кольцевом пространстве при закрытии скважины.</x:v>
      </x:c>
      <x:c r="B114" s="244"/>
      <x:c r="C114" s="244"/>
      <x:c r="D114" s="244"/>
      <x:c r="E114" s="244"/>
      <x:c r="F114" s="244"/>
      <x:c r="G114" s="244"/>
      <x:c r="H114" s="245"/>
    </x:row>
    <x:row r="115" ht="62" customHeight="1">
      <x:c r="A115" s="246"/>
      <x:c r="B115" s="247"/>
      <x:c r="C115" s="247"/>
      <x:c r="D115" s="247"/>
      <x:c r="E115" s="247"/>
      <x:c r="F115" s="247"/>
      <x:c r="G115" s="247"/>
      <x:c r="H115" s="248"/>
    </x:row>
    <x:row r="116" ht="8" customHeight="1"/>
    <x:row r="117" ht="24" customHeight="1">
      <x:c r="A117" s="253" t="str">
        <x:v>A</x:v>
      </x:c>
      <x:c r="B117" s="99" t="str">
        <x:v>35,8 атм</x:v>
      </x:c>
      <x:c r="C117" s="100"/>
      <x:c r="D117" s="100"/>
      <x:c r="E117" s="100"/>
      <x:c r="F117" s="100"/>
      <x:c r="G117" s="100"/>
      <x:c r="H117" s="101"/>
    </x:row>
    <x:row r="118" ht="24" customHeight="1">
      <x:c r="A118" s="253" t="str">
        <x:v>B</x:v>
      </x:c>
      <x:c r="B118" s="99" t="str">
        <x:v>43,0 атм</x:v>
      </x:c>
      <x:c r="C118" s="100"/>
      <x:c r="D118" s="100"/>
      <x:c r="E118" s="100"/>
      <x:c r="F118" s="100"/>
      <x:c r="G118" s="100"/>
      <x:c r="H118" s="101"/>
    </x:row>
    <x:row r="119" ht="24" customHeight="1">
      <x:c r="A119" s="253" t="str">
        <x:v>C</x:v>
      </x:c>
      <x:c r="B119" s="99" t="str">
        <x:v>50,6 атм</x:v>
      </x:c>
      <x:c r="C119" s="100"/>
      <x:c r="D119" s="100"/>
      <x:c r="E119" s="100"/>
      <x:c r="F119" s="100"/>
      <x:c r="G119" s="100"/>
      <x:c r="H119" s="101"/>
    </x:row>
    <x:row r="120" ht="8" customHeight="1"/>
    <x:row r="121" ht="28" customHeight="1">
      <x:c r="A121" s="258" t="str">
        <x:v>Ваш ответ:</x:v>
      </x:c>
      <x:c r="B121" s="259"/>
      <x:c r="C121" s="268"/>
      <x:c r="D121" s="269"/>
      <x:c r="E121" s="269"/>
      <x:c r="F121" s="269"/>
      <x:c r="G121" s="269"/>
      <x:c r="H121" s="270"/>
      <x:c r="Z121" t="n">
        <x:f>IF(C121="",0,IF(C121="C",1,0))</x:f>
        <x:v>0</x:v>
      </x:c>
      <x:c r="AA121" t="n">
        <x:f>IF(C121="",0,1)</x:f>
        <x:v>0</x:v>
      </x:c>
    </x:row>
    <x:row r="122" ht="8" customHeight="1"/>
    <x:row r="123" ht="30" customHeight="1">
      <x:c r="A123" s="343" t="str">
        <x:v>Комментарий:</x:v>
      </x:c>
      <x:c r="B123" s="344"/>
      <x:c r="C123" s="176" t="str">
        <x:f>IF(C121="","Выберите ответ.",IF(C121="A","Неверно. Указано другое нормативное значение или предел. Правильный вариант: C.",IF(C121="B","Неверно. Указано другое нормативное значение или предел. Правильный вариант: C.",IF(C121="C","Верно. Указано нормативное значение или предел, приведённый в исходном тесте.","Неверно. Ответ не распознан. Правильный вариант: C."))))</x:f>
        <x:v>Выберите ответ.</x:v>
      </x:c>
      <x:c r="D123" s="177"/>
      <x:c r="E123" s="177"/>
      <x:c r="F123" s="177"/>
      <x:c r="G123" s="177"/>
      <x:c r="H123" s="178"/>
    </x:row>
    <x:row r="124" ht="30" customHeight="1">
      <x:c r="A124" s="345"/>
      <x:c r="B124" s="346"/>
      <x:c r="C124" s="179"/>
      <x:c r="D124" s="180"/>
      <x:c r="E124" s="180"/>
      <x:c r="F124" s="180"/>
      <x:c r="G124" s="180"/>
      <x:c r="H124" s="181"/>
    </x:row>
    <x:row r="126" ht="24" customHeight="1">
      <x:c r="A126" s="228" t="str">
        <x:v>Вопрос 10 из 25</x:v>
      </x:c>
      <x:c r="B126" s="228"/>
      <x:c r="C126" s="228"/>
      <x:c r="D126" s="228"/>
      <x:c r="E126" s="228"/>
      <x:c r="F126" s="228"/>
      <x:c r="G126" s="228"/>
      <x:c r="H126" s="228"/>
    </x:row>
    <x:row r="127" ht="84" customHeight="1">
      <x:c r="A127" s="243" t="str">
        <x:v>При подъёме инструмента, долото поднято с забоя на 1000 м. Начался перелив и скважина была загерметизирована. Давление в бурильных трубах при закрытии 17,5 атм, давление в затрубном пространстве при закрытии скважины 17,5 атм. Пачка газа поднимается по стволу скважины вверх. Для поддержания забойного давления постоянным скважину разряжают путём стравливания давления в кольцевом пространстве. Как поведёт себя давление в бурильных трубах при прохождении пачки газа через долото?</x:v>
      </x:c>
      <x:c r="B127" s="244"/>
      <x:c r="C127" s="244"/>
      <x:c r="D127" s="244"/>
      <x:c r="E127" s="244"/>
      <x:c r="F127" s="244"/>
      <x:c r="G127" s="244"/>
      <x:c r="H127" s="245"/>
    </x:row>
    <x:row r="128" ht="84" customHeight="1">
      <x:c r="A128" s="246"/>
      <x:c r="B128" s="247"/>
      <x:c r="C128" s="247"/>
      <x:c r="D128" s="247"/>
      <x:c r="E128" s="247"/>
      <x:c r="F128" s="247"/>
      <x:c r="G128" s="247"/>
      <x:c r="H128" s="248"/>
    </x:row>
    <x:row r="129" ht="8" customHeight="1"/>
    <x:row r="130" ht="24" customHeight="1">
      <x:c r="A130" s="253" t="str">
        <x:v>A</x:v>
      </x:c>
      <x:c r="B130" s="99" t="str">
        <x:v>Повысится.</x:v>
      </x:c>
      <x:c r="C130" s="100"/>
      <x:c r="D130" s="100"/>
      <x:c r="E130" s="100"/>
      <x:c r="F130" s="100"/>
      <x:c r="G130" s="100"/>
      <x:c r="H130" s="101"/>
    </x:row>
    <x:row r="131" ht="24" customHeight="1">
      <x:c r="A131" s="253" t="str">
        <x:v>B</x:v>
      </x:c>
      <x:c r="B131" s="99" t="str">
        <x:v>Понизится.</x:v>
      </x:c>
      <x:c r="C131" s="100"/>
      <x:c r="D131" s="100"/>
      <x:c r="E131" s="100"/>
      <x:c r="F131" s="100"/>
      <x:c r="G131" s="100"/>
      <x:c r="H131" s="101"/>
    </x:row>
    <x:row r="132" ht="24" customHeight="1">
      <x:c r="A132" s="253" t="str">
        <x:v>C</x:v>
      </x:c>
      <x:c r="B132" s="99" t="str">
        <x:v>Останется неизменным.</x:v>
      </x:c>
      <x:c r="C132" s="100"/>
      <x:c r="D132" s="100"/>
      <x:c r="E132" s="100"/>
      <x:c r="F132" s="100"/>
      <x:c r="G132" s="100"/>
      <x:c r="H132" s="101"/>
    </x:row>
    <x:row r="133" ht="8" customHeight="1"/>
    <x:row r="134" ht="28" customHeight="1">
      <x:c r="A134" s="258" t="str">
        <x:v>Ваш ответ:</x:v>
      </x:c>
      <x:c r="B134" s="259"/>
      <x:c r="C134" s="268"/>
      <x:c r="D134" s="269"/>
      <x:c r="E134" s="269"/>
      <x:c r="F134" s="269"/>
      <x:c r="G134" s="269"/>
      <x:c r="H134" s="270"/>
      <x:c r="Z134" t="n">
        <x:f>IF(C134="",0,IF(C134="C",1,0))</x:f>
        <x:v>0</x:v>
      </x:c>
      <x:c r="AA134" t="n">
        <x:f>IF(C134="",0,1)</x:f>
        <x:v>0</x:v>
      </x:c>
    </x:row>
    <x:row r="135" ht="8" customHeight="1"/>
    <x:row r="136" ht="30" customHeight="1">
      <x:c r="A136" s="343" t="str">
        <x:v>Комментарий:</x:v>
      </x:c>
      <x:c r="B136" s="344"/>
      <x:c r="C136" s="176" t="str">
        <x:f>IF(C134="","Выберите ответ.",IF(C134="A","Неверно. Этот вариант не соответствует ключу исходного теста. Правильный вариант: C.",IF(C134="B","Неверно. Этот вариант не соответствует ключу исходного теста. Правильный вариант: C.",IF(C134="C","Верно. Этот вариант соответствует ключу исходного теста.","Неверно. Ответ не распознан. Правильный вариант: C."))))</x:f>
        <x:v>Выберите ответ.</x:v>
      </x:c>
      <x:c r="D136" s="177"/>
      <x:c r="E136" s="177"/>
      <x:c r="F136" s="177"/>
      <x:c r="G136" s="177"/>
      <x:c r="H136" s="178"/>
    </x:row>
    <x:row r="137" ht="30" customHeight="1">
      <x:c r="A137" s="345"/>
      <x:c r="B137" s="346"/>
      <x:c r="C137" s="179"/>
      <x:c r="D137" s="180"/>
      <x:c r="E137" s="180"/>
      <x:c r="F137" s="180"/>
      <x:c r="G137" s="180"/>
      <x:c r="H137" s="181"/>
    </x:row>
    <x:row r="139" ht="24" customHeight="1">
      <x:c r="A139" s="228" t="str">
        <x:v>Вопрос 11 из 25</x:v>
      </x:c>
      <x:c r="B139" s="228"/>
      <x:c r="C139" s="228"/>
      <x:c r="D139" s="228"/>
      <x:c r="E139" s="228"/>
      <x:c r="F139" s="228"/>
      <x:c r="G139" s="228"/>
      <x:c r="H139" s="228"/>
    </x:row>
    <x:row r="140" ht="76" customHeight="1">
      <x:c r="A140" s="243" t="str">
        <x:v>При подъёме инструмента, долото поднято с забоя на 1000 м. Начался перелив и скважина была загерметизирована. Давление в бурильных трубах при закрытии 17,5 атм, давление в затрубном пространстве при закрытии скважины 17,5 атм. Пачка газа поднимается по стволу скважины вверх. Чему будет равно давление в бурильных трубах, если пачка газа находится выше долота?</x:v>
      </x:c>
      <x:c r="B140" s="244"/>
      <x:c r="C140" s="244"/>
      <x:c r="D140" s="244"/>
      <x:c r="E140" s="244"/>
      <x:c r="F140" s="244"/>
      <x:c r="G140" s="244"/>
      <x:c r="H140" s="245"/>
    </x:row>
    <x:row r="141" ht="76" customHeight="1">
      <x:c r="A141" s="246"/>
      <x:c r="B141" s="247"/>
      <x:c r="C141" s="247"/>
      <x:c r="D141" s="247"/>
      <x:c r="E141" s="247"/>
      <x:c r="F141" s="247"/>
      <x:c r="G141" s="247"/>
      <x:c r="H141" s="248"/>
    </x:row>
    <x:row r="142" ht="8" customHeight="1"/>
    <x:row r="143" ht="24" customHeight="1">
      <x:c r="A143" s="253" t="str">
        <x:v>A</x:v>
      </x:c>
      <x:c r="B143" s="99" t="str">
        <x:v>0 атм</x:v>
      </x:c>
      <x:c r="C143" s="100"/>
      <x:c r="D143" s="100"/>
      <x:c r="E143" s="100"/>
      <x:c r="F143" s="100"/>
      <x:c r="G143" s="100"/>
      <x:c r="H143" s="101"/>
    </x:row>
    <x:row r="144" ht="24" customHeight="1">
      <x:c r="A144" s="253" t="str">
        <x:v>B</x:v>
      </x:c>
      <x:c r="B144" s="99" t="str">
        <x:v>17,5 атм</x:v>
      </x:c>
      <x:c r="C144" s="100"/>
      <x:c r="D144" s="100"/>
      <x:c r="E144" s="100"/>
      <x:c r="F144" s="100"/>
      <x:c r="G144" s="100"/>
      <x:c r="H144" s="101"/>
    </x:row>
    <x:row r="145" ht="24" customHeight="1">
      <x:c r="A145" s="253" t="str">
        <x:v>C</x:v>
      </x:c>
      <x:c r="B145" s="99" t="str">
        <x:v>24,4 атм</x:v>
      </x:c>
      <x:c r="C145" s="100"/>
      <x:c r="D145" s="100"/>
      <x:c r="E145" s="100"/>
      <x:c r="F145" s="100"/>
      <x:c r="G145" s="100"/>
      <x:c r="H145" s="101"/>
    </x:row>
    <x:row r="146" ht="24" customHeight="1">
      <x:c r="A146" s="253" t="str">
        <x:v>D</x:v>
      </x:c>
      <x:c r="B146" s="99" t="str">
        <x:v>Недостаточно данных для расчета.</x:v>
      </x:c>
      <x:c r="C146" s="100"/>
      <x:c r="D146" s="100"/>
      <x:c r="E146" s="100"/>
      <x:c r="F146" s="100"/>
      <x:c r="G146" s="100"/>
      <x:c r="H146" s="101"/>
    </x:row>
    <x:row r="147" ht="8" customHeight="1"/>
    <x:row r="148" ht="28" customHeight="1">
      <x:c r="A148" s="258" t="str">
        <x:v>Ваш ответ:</x:v>
      </x:c>
      <x:c r="B148" s="259"/>
      <x:c r="C148" s="268"/>
      <x:c r="D148" s="269"/>
      <x:c r="E148" s="269"/>
      <x:c r="F148" s="269"/>
      <x:c r="G148" s="269"/>
      <x:c r="H148" s="270"/>
      <x:c r="Z148" t="n">
        <x:f>IF(C148="",0,IF(C148="A",1,0))</x:f>
        <x:v>0</x:v>
      </x:c>
      <x:c r="AA148" t="n">
        <x:f>IF(C148="",0,1)</x:f>
        <x:v>0</x:v>
      </x:c>
    </x:row>
    <x:row r="149" ht="8" customHeight="1"/>
    <x:row r="150" ht="30" customHeight="1">
      <x:c r="A150" s="343" t="str">
        <x:v>Комментарий:</x:v>
      </x:c>
      <x:c r="B150" s="344"/>
      <x:c r="C150" s="176" t="str">
        <x:f>IF(C148="","Выберите ответ.",IF(C148="A","Верно. Этот вариант соответствует ключу исходного теста.",IF(C148="B","Неверно. Этот вариант не соответствует ключу исходного теста. Правильный вариант: A.",IF(C148="C","Неверно. Этот вариант не соответствует ключу исходного теста. Правильный вариант: A.",IF(C148="D","Неверно. Этот вариант не соответствует ключу исходного теста. Правильный вариант: A.","Неверно. Ответ не распознан. Правильный вариант: A.")))))</x:f>
        <x:v>Выберите ответ.</x:v>
      </x:c>
      <x:c r="D150" s="177"/>
      <x:c r="E150" s="177"/>
      <x:c r="F150" s="177"/>
      <x:c r="G150" s="177"/>
      <x:c r="H150" s="178"/>
    </x:row>
    <x:row r="151" ht="30" customHeight="1">
      <x:c r="A151" s="345"/>
      <x:c r="B151" s="346"/>
      <x:c r="C151" s="179"/>
      <x:c r="D151" s="180"/>
      <x:c r="E151" s="180"/>
      <x:c r="F151" s="180"/>
      <x:c r="G151" s="180"/>
      <x:c r="H151" s="181"/>
    </x:row>
    <x:row r="153" ht="24" customHeight="1">
      <x:c r="A153" s="228" t="str">
        <x:v>Вопрос 12 из 25</x:v>
      </x:c>
      <x:c r="B153" s="228"/>
      <x:c r="C153" s="228"/>
      <x:c r="D153" s="228"/>
      <x:c r="E153" s="228"/>
      <x:c r="F153" s="228"/>
      <x:c r="G153" s="228"/>
      <x:c r="H153" s="228"/>
    </x:row>
    <x:row r="154" ht="84" customHeight="1">
      <x:c r="A154" s="243" t="str">
        <x:v>Скважина закрыта, при проявлении зарегистрирована следующая информация: избыточное давление в бурильных трубах 35 атм, избыточное давление в затрубном пространстве 58 атм, глубина скважины по вертикали 3043 м, плотность исходного бурового раствора 1,25 г/см³. Если буровой раствор с плотностью, необходимой для глушения скважины, закачать только в верхнюю половину бурильных труб, а затем выключить насос, какое давление будет в бурильных трубах закрытой скважины?</x:v>
      </x:c>
      <x:c r="B154" s="244"/>
      <x:c r="C154" s="244"/>
      <x:c r="D154" s="244"/>
      <x:c r="E154" s="244"/>
      <x:c r="F154" s="244"/>
      <x:c r="G154" s="244"/>
      <x:c r="H154" s="245"/>
    </x:row>
    <x:row r="155" ht="84" customHeight="1">
      <x:c r="A155" s="246"/>
      <x:c r="B155" s="247"/>
      <x:c r="C155" s="247"/>
      <x:c r="D155" s="247"/>
      <x:c r="E155" s="247"/>
      <x:c r="F155" s="247"/>
      <x:c r="G155" s="247"/>
      <x:c r="H155" s="248"/>
    </x:row>
    <x:row r="156" ht="8" customHeight="1"/>
    <x:row r="157" ht="24" customHeight="1">
      <x:c r="A157" s="253" t="str">
        <x:v>A</x:v>
      </x:c>
      <x:c r="B157" s="99" t="str">
        <x:v>17,4 атм</x:v>
      </x:c>
      <x:c r="C157" s="100"/>
      <x:c r="D157" s="100"/>
      <x:c r="E157" s="100"/>
      <x:c r="F157" s="100"/>
      <x:c r="G157" s="100"/>
      <x:c r="H157" s="101"/>
    </x:row>
    <x:row r="158" ht="24" customHeight="1">
      <x:c r="A158" s="253" t="str">
        <x:v>B</x:v>
      </x:c>
      <x:c r="B158" s="99" t="str">
        <x:v>35,1 атм</x:v>
      </x:c>
      <x:c r="C158" s="100"/>
      <x:c r="D158" s="100"/>
      <x:c r="E158" s="100"/>
      <x:c r="F158" s="100"/>
      <x:c r="G158" s="100"/>
      <x:c r="H158" s="101"/>
    </x:row>
    <x:row r="159" ht="24" customHeight="1">
      <x:c r="A159" s="253" t="str">
        <x:v>C</x:v>
      </x:c>
      <x:c r="B159" s="99" t="str">
        <x:v>56,0 атм</x:v>
      </x:c>
      <x:c r="C159" s="100"/>
      <x:c r="D159" s="100"/>
      <x:c r="E159" s="100"/>
      <x:c r="F159" s="100"/>
      <x:c r="G159" s="100"/>
      <x:c r="H159" s="101"/>
    </x:row>
    <x:row r="160" ht="24" customHeight="1">
      <x:c r="A160" s="253" t="str">
        <x:v>D</x:v>
      </x:c>
      <x:c r="B160" s="99" t="str">
        <x:v>28,4 атм</x:v>
      </x:c>
      <x:c r="C160" s="100"/>
      <x:c r="D160" s="100"/>
      <x:c r="E160" s="100"/>
      <x:c r="F160" s="100"/>
      <x:c r="G160" s="100"/>
      <x:c r="H160" s="101"/>
    </x:row>
    <x:row r="161" ht="8" customHeight="1"/>
    <x:row r="162" ht="28" customHeight="1">
      <x:c r="A162" s="258" t="str">
        <x:v>Ваш ответ:</x:v>
      </x:c>
      <x:c r="B162" s="259"/>
      <x:c r="C162" s="268"/>
      <x:c r="D162" s="269"/>
      <x:c r="E162" s="269"/>
      <x:c r="F162" s="269"/>
      <x:c r="G162" s="269"/>
      <x:c r="H162" s="270"/>
      <x:c r="Z162" t="n">
        <x:f>IF(C162="",0,IF(C162="A",1,0))</x:f>
        <x:v>0</x:v>
      </x:c>
      <x:c r="AA162" t="n">
        <x:f>IF(C162="",0,1)</x:f>
        <x:v>0</x:v>
      </x:c>
    </x:row>
    <x:row r="163" ht="8" customHeight="1"/>
    <x:row r="164" ht="30" customHeight="1">
      <x:c r="A164" s="343" t="str">
        <x:v>Комментарий:</x:v>
      </x:c>
      <x:c r="B164" s="344"/>
      <x:c r="C164" s="176" t="str">
        <x:f>IF(C162="","Выберите ответ.",IF(C162="A","Верно. Этот вариант соответствует ключу исходного теста.",IF(C162="B","Неверно. Этот вариант не соответствует ключу исходного теста. Правильный вариант: A.",IF(C162="C","Неверно. Этот вариант не соответствует ключу исходного теста. Правильный вариант: A.",IF(C162="D","Неверно. Этот вариант не соответствует ключу исходного теста. Правильный вариант: A.","Неверно. Ответ не распознан. Правильный вариант: A.")))))</x:f>
        <x:v>Выберите ответ.</x:v>
      </x:c>
      <x:c r="D164" s="177"/>
      <x:c r="E164" s="177"/>
      <x:c r="F164" s="177"/>
      <x:c r="G164" s="177"/>
      <x:c r="H164" s="178"/>
    </x:row>
    <x:row r="165" ht="30" customHeight="1">
      <x:c r="A165" s="345"/>
      <x:c r="B165" s="346"/>
      <x:c r="C165" s="179"/>
      <x:c r="D165" s="180"/>
      <x:c r="E165" s="180"/>
      <x:c r="F165" s="180"/>
      <x:c r="G165" s="180"/>
      <x:c r="H165" s="181"/>
    </x:row>
    <x:row r="167" ht="24" customHeight="1">
      <x:c r="A167" s="228" t="str">
        <x:v>Вопрос 13 из 25</x:v>
      </x:c>
      <x:c r="B167" s="228"/>
      <x:c r="C167" s="228"/>
      <x:c r="D167" s="228"/>
      <x:c r="E167" s="228"/>
      <x:c r="F167" s="228"/>
      <x:c r="G167" s="228"/>
      <x:c r="H167" s="228"/>
    </x:row>
    <x:row r="168" ht="34" customHeight="1">
      <x:c r="A168" s="243" t="str">
        <x:v>Основной целью при вымыве поступившего флюида в скважину является...?</x:v>
      </x:c>
      <x:c r="B168" s="244"/>
      <x:c r="C168" s="244"/>
      <x:c r="D168" s="244"/>
      <x:c r="E168" s="244"/>
      <x:c r="F168" s="244"/>
      <x:c r="G168" s="244"/>
      <x:c r="H168" s="245"/>
    </x:row>
    <x:row r="169" ht="34" customHeight="1">
      <x:c r="A169" s="246"/>
      <x:c r="B169" s="247"/>
      <x:c r="C169" s="247"/>
      <x:c r="D169" s="247"/>
      <x:c r="E169" s="247"/>
      <x:c r="F169" s="247"/>
      <x:c r="G169" s="247"/>
      <x:c r="H169" s="248"/>
    </x:row>
    <x:row r="170" ht="8" customHeight="1"/>
    <x:row r="171" ht="24" customHeight="1">
      <x:c r="A171" s="253" t="str">
        <x:v>A</x:v>
      </x:c>
      <x:c r="B171" s="99" t="str">
        <x:v>Поддержание постоянного забойного давления на 15 атм выше пластового давления во время всей операции по контролю скважины.</x:v>
      </x:c>
      <x:c r="C171" s="100"/>
      <x:c r="D171" s="100"/>
      <x:c r="E171" s="100"/>
      <x:c r="F171" s="100"/>
      <x:c r="G171" s="100"/>
      <x:c r="H171" s="101"/>
    </x:row>
    <x:row r="172" ht="24" customHeight="1">
      <x:c r="A172" s="253" t="str">
        <x:v>B</x:v>
      </x:c>
      <x:c r="B172" s="99" t="str">
        <x:v>Поддержание постоянного забойного давления слегка (5–10 атм) выше пластового давления во время всей операции по контролю скважины.</x:v>
      </x:c>
      <x:c r="C172" s="100"/>
      <x:c r="D172" s="100"/>
      <x:c r="E172" s="100"/>
      <x:c r="F172" s="100"/>
      <x:c r="G172" s="100"/>
      <x:c r="H172" s="101"/>
    </x:row>
    <x:row r="173" ht="24" customHeight="1">
      <x:c r="A173" s="253" t="str">
        <x:v>C</x:v>
      </x:c>
      <x:c r="B173" s="99" t="str">
        <x:v>Выполнить операцию как можно быстрее без обращения внимания на забойное давление.</x:v>
      </x:c>
      <x:c r="C173" s="100"/>
      <x:c r="D173" s="100"/>
      <x:c r="E173" s="100"/>
      <x:c r="F173" s="100"/>
      <x:c r="G173" s="100"/>
      <x:c r="H173" s="101"/>
    </x:row>
    <x:row r="174" ht="8" customHeight="1"/>
    <x:row r="175" ht="28" customHeight="1">
      <x:c r="A175" s="258" t="str">
        <x:v>Ваш ответ:</x:v>
      </x:c>
      <x:c r="B175" s="259"/>
      <x:c r="C175" s="268"/>
      <x:c r="D175" s="269"/>
      <x:c r="E175" s="269"/>
      <x:c r="F175" s="269"/>
      <x:c r="G175" s="269"/>
      <x:c r="H175" s="270"/>
      <x:c r="Z175" t="n">
        <x:f>IF(C175="",0,IF(C175="B",1,0))</x:f>
        <x:v>0</x:v>
      </x:c>
      <x:c r="AA175" t="n">
        <x:f>IF(C175="",0,1)</x:f>
        <x:v>0</x:v>
      </x:c>
    </x:row>
    <x:row r="176" ht="8" customHeight="1"/>
    <x:row r="177" ht="30" customHeight="1">
      <x:c r="A177" s="343" t="str">
        <x:v>Комментарий:</x:v>
      </x:c>
      <x:c r="B177" s="344"/>
      <x:c r="C177" s="176" t="str">
        <x:f>IF(C175="","Выберите ответ.",IF(C175="A","Неверно. Этот вариант не соответствует ключу исходного теста. Правильный вариант: B.",IF(C175="B","Верно. Этот вариант соответствует ключу исходного теста.",IF(C175="C","Неверно. Этот вариант не соответствует ключу исходного теста. Правильный вариант: B.","Неверно. Ответ не распознан. Правильный вариант: B."))))</x:f>
        <x:v>Выберите ответ.</x:v>
      </x:c>
      <x:c r="D177" s="177"/>
      <x:c r="E177" s="177"/>
      <x:c r="F177" s="177"/>
      <x:c r="G177" s="177"/>
      <x:c r="H177" s="178"/>
    </x:row>
    <x:row r="178" ht="30" customHeight="1">
      <x:c r="A178" s="345"/>
      <x:c r="B178" s="346"/>
      <x:c r="C178" s="179"/>
      <x:c r="D178" s="180"/>
      <x:c r="E178" s="180"/>
      <x:c r="F178" s="180"/>
      <x:c r="G178" s="180"/>
      <x:c r="H178" s="181"/>
    </x:row>
    <x:row r="180" ht="24" customHeight="1">
      <x:c r="A180" s="228" t="str">
        <x:v>Вопрос 14 из 25</x:v>
      </x:c>
      <x:c r="B180" s="228"/>
      <x:c r="C180" s="228"/>
      <x:c r="D180" s="228"/>
      <x:c r="E180" s="228"/>
      <x:c r="F180" s="228"/>
      <x:c r="G180" s="228"/>
      <x:c r="H180" s="228"/>
    </x:row>
    <x:row r="181" ht="34" customHeight="1">
      <x:c r="A181" s="243" t="str">
        <x:v>Какие из приведённых утверждений верны относительно давления в скважине при правильном вымыве пачки газа?</x:v>
      </x:c>
      <x:c r="B181" s="244"/>
      <x:c r="C181" s="244"/>
      <x:c r="D181" s="244"/>
      <x:c r="E181" s="244"/>
      <x:c r="F181" s="244"/>
      <x:c r="G181" s="244"/>
      <x:c r="H181" s="245"/>
    </x:row>
    <x:row r="182" ht="34" customHeight="1">
      <x:c r="A182" s="246"/>
      <x:c r="B182" s="247"/>
      <x:c r="C182" s="247"/>
      <x:c r="D182" s="247"/>
      <x:c r="E182" s="247"/>
      <x:c r="F182" s="247"/>
      <x:c r="G182" s="247"/>
      <x:c r="H182" s="248"/>
    </x:row>
    <x:row r="183" ht="8" customHeight="1"/>
    <x:row r="184" ht="24" customHeight="1">
      <x:c r="A184" s="253" t="str">
        <x:v>A</x:v>
      </x:c>
      <x:c r="B184" s="99" t="str">
        <x:v>До тех пор пока процесс глушения ведется правильно, давление в скважине над газовой пачкой будет оставаться постоянным.</x:v>
      </x:c>
      <x:c r="C184" s="100"/>
      <x:c r="D184" s="100"/>
      <x:c r="E184" s="100"/>
      <x:c r="F184" s="100"/>
      <x:c r="G184" s="100"/>
      <x:c r="H184" s="101"/>
    </x:row>
    <x:row r="185" ht="24" customHeight="1">
      <x:c r="A185" s="253" t="str">
        <x:v>B</x:v>
      </x:c>
      <x:c r="B185" s="99" t="str">
        <x:v>До тех пор пока процесс глушения ведется правильно, давление в скважине над газовой пачкой будет оставаться увеличиваться.</x:v>
      </x:c>
      <x:c r="C185" s="100"/>
      <x:c r="D185" s="100"/>
      <x:c r="E185" s="100"/>
      <x:c r="F185" s="100"/>
      <x:c r="G185" s="100"/>
      <x:c r="H185" s="101"/>
    </x:row>
    <x:row r="186" ht="24" customHeight="1">
      <x:c r="A186" s="253" t="str">
        <x:v>C</x:v>
      </x:c>
      <x:c r="B186" s="99" t="str">
        <x:v>До тех пор пока процесс глушения ведется правильно, давление в скважине под газовой пачкой будет оставаться постоянным.</x:v>
      </x:c>
      <x:c r="C186" s="100"/>
      <x:c r="D186" s="100"/>
      <x:c r="E186" s="100"/>
      <x:c r="F186" s="100"/>
      <x:c r="G186" s="100"/>
      <x:c r="H186" s="101"/>
    </x:row>
    <x:row r="187" ht="8" customHeight="1"/>
    <x:row r="188" ht="28" customHeight="1">
      <x:c r="A188" s="258" t="str">
        <x:v>Ваш ответ:</x:v>
      </x:c>
      <x:c r="B188" s="259"/>
      <x:c r="C188" s="268"/>
      <x:c r="D188" s="269"/>
      <x:c r="E188" s="269"/>
      <x:c r="F188" s="269"/>
      <x:c r="G188" s="269"/>
      <x:c r="H188" s="270"/>
      <x:c r="Z188" t="n">
        <x:f>IF(C188="",0,IF(C188="C",1,0))</x:f>
        <x:v>0</x:v>
      </x:c>
      <x:c r="AA188" t="n">
        <x:f>IF(C188="",0,1)</x:f>
        <x:v>0</x:v>
      </x:c>
    </x:row>
    <x:row r="189" ht="8" customHeight="1"/>
    <x:row r="190" ht="30" customHeight="1">
      <x:c r="A190" s="343" t="str">
        <x:v>Комментарий:</x:v>
      </x:c>
      <x:c r="B190" s="344"/>
      <x:c r="C190" s="176" t="str">
        <x:f>IF(C188="","Выберите ответ.",IF(C188="A","Неверно. Этот вариант не соответствует ключу исходного теста. Правильный вариант: C.",IF(C188="B","Неверно. Этот вариант не соответствует ключу исходного теста. Правильный вариант: C.",IF(C188="C","Верно. Этот вариант соответствует ключу исходного теста.","Неверно. Ответ не распознан. Правильный вариант: C."))))</x:f>
        <x:v>Выберите ответ.</x:v>
      </x:c>
      <x:c r="D190" s="177"/>
      <x:c r="E190" s="177"/>
      <x:c r="F190" s="177"/>
      <x:c r="G190" s="177"/>
      <x:c r="H190" s="178"/>
    </x:row>
    <x:row r="191" ht="30" customHeight="1">
      <x:c r="A191" s="345"/>
      <x:c r="B191" s="346"/>
      <x:c r="C191" s="179"/>
      <x:c r="D191" s="180"/>
      <x:c r="E191" s="180"/>
      <x:c r="F191" s="180"/>
      <x:c r="G191" s="180"/>
      <x:c r="H191" s="181"/>
    </x:row>
    <x:row r="193" ht="24" customHeight="1">
      <x:c r="A193" s="228" t="str">
        <x:v>Вопрос 15 из 25</x:v>
      </x:c>
      <x:c r="B193" s="228"/>
      <x:c r="C193" s="228"/>
      <x:c r="D193" s="228"/>
      <x:c r="E193" s="228"/>
      <x:c r="F193" s="228"/>
      <x:c r="G193" s="228"/>
      <x:c r="H193" s="228"/>
    </x:row>
    <x:row r="194" ht="34" customHeight="1">
      <x:c r="A194" s="243" t="str">
        <x:v>Основной принцип метода постоянного давления на забое — поддерживать давление, которое...?</x:v>
      </x:c>
      <x:c r="B194" s="244"/>
      <x:c r="C194" s="244"/>
      <x:c r="D194" s="244"/>
      <x:c r="E194" s="244"/>
      <x:c r="F194" s="244"/>
      <x:c r="G194" s="244"/>
      <x:c r="H194" s="245"/>
    </x:row>
    <x:row r="195" ht="34" customHeight="1">
      <x:c r="A195" s="246"/>
      <x:c r="B195" s="247"/>
      <x:c r="C195" s="247"/>
      <x:c r="D195" s="247"/>
      <x:c r="E195" s="247"/>
      <x:c r="F195" s="247"/>
      <x:c r="G195" s="247"/>
      <x:c r="H195" s="248"/>
    </x:row>
    <x:row r="196" ht="8" customHeight="1"/>
    <x:row r="197" ht="24" customHeight="1">
      <x:c r="A197" s="253" t="str">
        <x:v>A</x:v>
      </x:c>
      <x:c r="B197" s="99" t="str">
        <x:v>Равно изменяющейся величине гидростатического давления.</x:v>
      </x:c>
      <x:c r="C197" s="100"/>
      <x:c r="D197" s="100"/>
      <x:c r="E197" s="100"/>
      <x:c r="F197" s="100"/>
      <x:c r="G197" s="100"/>
      <x:c r="H197" s="101"/>
    </x:row>
    <x:row r="198" ht="24" customHeight="1">
      <x:c r="A198" s="253" t="str">
        <x:v>B</x:v>
      </x:c>
      <x:c r="B198" s="99" t="str">
        <x:v>Как минимум равно пластовому давлению.</x:v>
      </x:c>
      <x:c r="C198" s="100"/>
      <x:c r="D198" s="100"/>
      <x:c r="E198" s="100"/>
      <x:c r="F198" s="100"/>
      <x:c r="G198" s="100"/>
      <x:c r="H198" s="101"/>
    </x:row>
    <x:row r="199" ht="24" customHeight="1">
      <x:c r="A199" s="253" t="str">
        <x:v>C</x:v>
      </x:c>
      <x:c r="B199" s="99" t="str">
        <x:v>Равно давлению в бурильных трубах при глушении.</x:v>
      </x:c>
      <x:c r="C199" s="100"/>
      <x:c r="D199" s="100"/>
      <x:c r="E199" s="100"/>
      <x:c r="F199" s="100"/>
      <x:c r="G199" s="100"/>
      <x:c r="H199" s="101"/>
    </x:row>
    <x:row r="200" ht="24" customHeight="1">
      <x:c r="A200" s="253" t="str">
        <x:v>D</x:v>
      </x:c>
      <x:c r="B200" s="99" t="str">
        <x:v>Как минимум равно давлению в затрубном пространстве при глушении.</x:v>
      </x:c>
      <x:c r="C200" s="100"/>
      <x:c r="D200" s="100"/>
      <x:c r="E200" s="100"/>
      <x:c r="F200" s="100"/>
      <x:c r="G200" s="100"/>
      <x:c r="H200" s="101"/>
    </x:row>
    <x:row r="201" ht="8" customHeight="1"/>
    <x:row r="202" ht="28" customHeight="1">
      <x:c r="A202" s="258" t="str">
        <x:v>Ваш ответ:</x:v>
      </x:c>
      <x:c r="B202" s="259"/>
      <x:c r="C202" s="268"/>
      <x:c r="D202" s="269"/>
      <x:c r="E202" s="269"/>
      <x:c r="F202" s="269"/>
      <x:c r="G202" s="269"/>
      <x:c r="H202" s="270"/>
      <x:c r="Z202" t="n">
        <x:f>IF(C202="",0,IF(C202="B",1,0))</x:f>
        <x:v>0</x:v>
      </x:c>
      <x:c r="AA202" t="n">
        <x:f>IF(C202="",0,1)</x:f>
        <x:v>0</x:v>
      </x:c>
    </x:row>
    <x:row r="203" ht="8" customHeight="1"/>
    <x:row r="204" ht="30" customHeight="1">
      <x:c r="A204" s="343" t="str">
        <x:v>Комментарий:</x:v>
      </x:c>
      <x:c r="B204" s="344"/>
      <x:c r="C204" s="176" t="str">
        <x:f>IF(C202="","Выберите ответ.",IF(C202="A","Неверно. Этот вариант не соответствует ключу исходного теста. Правильный вариант: B.",IF(C202="B","Верно. Этот вариант соответствует ключу исходного теста.",IF(C202="C","Неверно. Этот вариант не соответствует ключу исходного теста. Правильный вариант: B.",IF(C202="D","Неверно. Этот вариант не соответствует ключу исходного теста. Правильный вариант: B.","Неверно. Ответ не распознан. Правильный вариант: B.")))))</x:f>
        <x:v>Выберите ответ.</x:v>
      </x:c>
      <x:c r="D204" s="177"/>
      <x:c r="E204" s="177"/>
      <x:c r="F204" s="177"/>
      <x:c r="G204" s="177"/>
      <x:c r="H204" s="178"/>
    </x:row>
    <x:row r="205" ht="30" customHeight="1">
      <x:c r="A205" s="345"/>
      <x:c r="B205" s="346"/>
      <x:c r="C205" s="179"/>
      <x:c r="D205" s="180"/>
      <x:c r="E205" s="180"/>
      <x:c r="F205" s="180"/>
      <x:c r="G205" s="180"/>
      <x:c r="H205" s="181"/>
    </x:row>
    <x:row r="207" ht="24" customHeight="1">
      <x:c r="A207" s="228" t="str">
        <x:v>Вопрос 16 из 25</x:v>
      </x:c>
      <x:c r="B207" s="228"/>
      <x:c r="C207" s="228"/>
      <x:c r="D207" s="228"/>
      <x:c r="E207" s="228"/>
      <x:c r="F207" s="228"/>
      <x:c r="G207" s="228"/>
      <x:c r="H207" s="228"/>
    </x:row>
    <x:row r="208" ht="48" customHeight="1">
      <x:c r="A208" s="243" t="str">
        <x:v>Если во время заполнения бурильных труб задавочным раствором трубное давление поддерживать постоянным, то что будет происходить с забойным давлением?</x:v>
      </x:c>
      <x:c r="B208" s="244"/>
      <x:c r="C208" s="244"/>
      <x:c r="D208" s="244"/>
      <x:c r="E208" s="244"/>
      <x:c r="F208" s="244"/>
      <x:c r="G208" s="244"/>
      <x:c r="H208" s="245"/>
    </x:row>
    <x:row r="209" ht="48" customHeight="1">
      <x:c r="A209" s="246"/>
      <x:c r="B209" s="247"/>
      <x:c r="C209" s="247"/>
      <x:c r="D209" s="247"/>
      <x:c r="E209" s="247"/>
      <x:c r="F209" s="247"/>
      <x:c r="G209" s="247"/>
      <x:c r="H209" s="248"/>
    </x:row>
    <x:row r="210" ht="8" customHeight="1"/>
    <x:row r="211" ht="24" customHeight="1">
      <x:c r="A211" s="253" t="str">
        <x:v>A</x:v>
      </x:c>
      <x:c r="B211" s="99" t="str">
        <x:v>Увеличиваться.</x:v>
      </x:c>
      <x:c r="C211" s="100"/>
      <x:c r="D211" s="100"/>
      <x:c r="E211" s="100"/>
      <x:c r="F211" s="100"/>
      <x:c r="G211" s="100"/>
      <x:c r="H211" s="101"/>
    </x:row>
    <x:row r="212" ht="24" customHeight="1">
      <x:c r="A212" s="253" t="str">
        <x:v>B</x:v>
      </x:c>
      <x:c r="B212" s="99" t="str">
        <x:v>Уменьшаться.</x:v>
      </x:c>
      <x:c r="C212" s="100"/>
      <x:c r="D212" s="100"/>
      <x:c r="E212" s="100"/>
      <x:c r="F212" s="100"/>
      <x:c r="G212" s="100"/>
      <x:c r="H212" s="101"/>
    </x:row>
    <x:row r="213" ht="24" customHeight="1">
      <x:c r="A213" s="253" t="str">
        <x:v>C</x:v>
      </x:c>
      <x:c r="B213" s="99" t="str">
        <x:v>Оставаться неизменным.</x:v>
      </x:c>
      <x:c r="C213" s="100"/>
      <x:c r="D213" s="100"/>
      <x:c r="E213" s="100"/>
      <x:c r="F213" s="100"/>
      <x:c r="G213" s="100"/>
      <x:c r="H213" s="101"/>
    </x:row>
    <x:row r="214" ht="8" customHeight="1"/>
    <x:row r="215" ht="28" customHeight="1">
      <x:c r="A215" s="258" t="str">
        <x:v>Ваш ответ:</x:v>
      </x:c>
      <x:c r="B215" s="259"/>
      <x:c r="C215" s="268"/>
      <x:c r="D215" s="269"/>
      <x:c r="E215" s="269"/>
      <x:c r="F215" s="269"/>
      <x:c r="G215" s="269"/>
      <x:c r="H215" s="270"/>
      <x:c r="Z215" t="n">
        <x:f>IF(C215="",0,IF(C215="A",1,0))</x:f>
        <x:v>0</x:v>
      </x:c>
      <x:c r="AA215" t="n">
        <x:f>IF(C215="",0,1)</x:f>
        <x:v>0</x:v>
      </x:c>
    </x:row>
    <x:row r="216" ht="8" customHeight="1"/>
    <x:row r="217" ht="30" customHeight="1">
      <x:c r="A217" s="343" t="str">
        <x:v>Комментарий:</x:v>
      </x:c>
      <x:c r="B217" s="344"/>
      <x:c r="C217" s="176" t="str">
        <x:f>IF(C215="","Выберите ответ.",IF(C215="A","Верно. Этот вариант соответствует ключу исходного теста.",IF(C215="B","Неверно. Этот вариант не соответствует ключу исходного теста. Правильный вариант: A.",IF(C215="C","Неверно. Этот вариант не соответствует ключу исходного теста. Правильный вариант: A.","Неверно. Ответ не распознан. Правильный вариант: A."))))</x:f>
        <x:v>Выберите ответ.</x:v>
      </x:c>
      <x:c r="D217" s="177"/>
      <x:c r="E217" s="177"/>
      <x:c r="F217" s="177"/>
      <x:c r="G217" s="177"/>
      <x:c r="H217" s="178"/>
    </x:row>
    <x:row r="218" ht="30" customHeight="1">
      <x:c r="A218" s="345"/>
      <x:c r="B218" s="346"/>
      <x:c r="C218" s="179"/>
      <x:c r="D218" s="180"/>
      <x:c r="E218" s="180"/>
      <x:c r="F218" s="180"/>
      <x:c r="G218" s="180"/>
      <x:c r="H218" s="181"/>
    </x:row>
    <x:row r="220" ht="24" customHeight="1">
      <x:c r="A220" s="228" t="str">
        <x:v>Вопрос 17 из 25</x:v>
      </x:c>
      <x:c r="B220" s="228"/>
      <x:c r="C220" s="228"/>
      <x:c r="D220" s="228"/>
      <x:c r="E220" s="228"/>
      <x:c r="F220" s="228"/>
      <x:c r="G220" s="228"/>
      <x:c r="H220" s="228"/>
    </x:row>
    <x:row r="221" ht="34" customHeight="1">
      <x:c r="A221" s="243" t="str">
        <x:v>Если в начале глушения давление в затрубном пространстве увеличивается, то забойное давление...</x:v>
      </x:c>
      <x:c r="B221" s="244"/>
      <x:c r="C221" s="244"/>
      <x:c r="D221" s="244"/>
      <x:c r="E221" s="244"/>
      <x:c r="F221" s="244"/>
      <x:c r="G221" s="244"/>
      <x:c r="H221" s="245"/>
    </x:row>
    <x:row r="222" ht="34" customHeight="1">
      <x:c r="A222" s="246"/>
      <x:c r="B222" s="247"/>
      <x:c r="C222" s="247"/>
      <x:c r="D222" s="247"/>
      <x:c r="E222" s="247"/>
      <x:c r="F222" s="247"/>
      <x:c r="G222" s="247"/>
      <x:c r="H222" s="248"/>
    </x:row>
    <x:row r="223" ht="8" customHeight="1"/>
    <x:row r="224" ht="24" customHeight="1">
      <x:c r="A224" s="253" t="str">
        <x:v>A</x:v>
      </x:c>
      <x:c r="B224" s="99" t="str">
        <x:v>Увеличивается.</x:v>
      </x:c>
      <x:c r="C224" s="100"/>
      <x:c r="D224" s="100"/>
      <x:c r="E224" s="100"/>
      <x:c r="F224" s="100"/>
      <x:c r="G224" s="100"/>
      <x:c r="H224" s="101"/>
    </x:row>
    <x:row r="225" ht="24" customHeight="1">
      <x:c r="A225" s="253" t="str">
        <x:v>B</x:v>
      </x:c>
      <x:c r="B225" s="99" t="str">
        <x:v>Уменьшается.</x:v>
      </x:c>
      <x:c r="C225" s="100"/>
      <x:c r="D225" s="100"/>
      <x:c r="E225" s="100"/>
      <x:c r="F225" s="100"/>
      <x:c r="G225" s="100"/>
      <x:c r="H225" s="101"/>
    </x:row>
    <x:row r="226" ht="24" customHeight="1">
      <x:c r="A226" s="253" t="str">
        <x:v>C</x:v>
      </x:c>
      <x:c r="B226" s="99" t="str">
        <x:v>Остается неизменным.</x:v>
      </x:c>
      <x:c r="C226" s="100"/>
      <x:c r="D226" s="100"/>
      <x:c r="E226" s="100"/>
      <x:c r="F226" s="100"/>
      <x:c r="G226" s="100"/>
      <x:c r="H226" s="101"/>
    </x:row>
    <x:row r="227" ht="8" customHeight="1"/>
    <x:row r="228" ht="28" customHeight="1">
      <x:c r="A228" s="258" t="str">
        <x:v>Ваш ответ:</x:v>
      </x:c>
      <x:c r="B228" s="259"/>
      <x:c r="C228" s="268"/>
      <x:c r="D228" s="269"/>
      <x:c r="E228" s="269"/>
      <x:c r="F228" s="269"/>
      <x:c r="G228" s="269"/>
      <x:c r="H228" s="270"/>
      <x:c r="Z228" t="n">
        <x:f>IF(C228="",0,IF(C228="A",1,0))</x:f>
        <x:v>0</x:v>
      </x:c>
      <x:c r="AA228" t="n">
        <x:f>IF(C228="",0,1)</x:f>
        <x:v>0</x:v>
      </x:c>
    </x:row>
    <x:row r="229" ht="8" customHeight="1"/>
    <x:row r="230" ht="30" customHeight="1">
      <x:c r="A230" s="343" t="str">
        <x:v>Комментарий:</x:v>
      </x:c>
      <x:c r="B230" s="344"/>
      <x:c r="C230" s="176" t="str">
        <x:f>IF(C228="","Выберите ответ.",IF(C228="A","Верно. Этот вариант соответствует ключу исходного теста.",IF(C228="B","Неверно. Этот вариант не соответствует ключу исходного теста. Правильный вариант: A.",IF(C228="C","Неверно. Этот вариант не соответствует ключу исходного теста. Правильный вариант: A.","Неверно. Ответ не распознан. Правильный вариант: A."))))</x:f>
        <x:v>Выберите ответ.</x:v>
      </x:c>
      <x:c r="D230" s="177"/>
      <x:c r="E230" s="177"/>
      <x:c r="F230" s="177"/>
      <x:c r="G230" s="177"/>
      <x:c r="H230" s="178"/>
    </x:row>
    <x:row r="231" ht="30" customHeight="1">
      <x:c r="A231" s="345"/>
      <x:c r="B231" s="346"/>
      <x:c r="C231" s="179"/>
      <x:c r="D231" s="180"/>
      <x:c r="E231" s="180"/>
      <x:c r="F231" s="180"/>
      <x:c r="G231" s="180"/>
      <x:c r="H231" s="181"/>
    </x:row>
    <x:row r="233" ht="24" customHeight="1">
      <x:c r="A233" s="228" t="str">
        <x:v>Вопрос 18 из 25</x:v>
      </x:c>
      <x:c r="B233" s="228"/>
      <x:c r="C233" s="228"/>
      <x:c r="D233" s="228"/>
      <x:c r="E233" s="228"/>
      <x:c r="F233" s="228"/>
      <x:c r="G233" s="228"/>
      <x:c r="H233" s="228"/>
    </x:row>
    <x:row r="234" ht="34" customHeight="1">
      <x:c r="A234" s="243" t="str">
        <x:v>Когда нужно начинать отсчёт числа ходов насоса при закачке раствора задавочной плотности?</x:v>
      </x:c>
      <x:c r="B234" s="244"/>
      <x:c r="C234" s="244"/>
      <x:c r="D234" s="244"/>
      <x:c r="E234" s="244"/>
      <x:c r="F234" s="244"/>
      <x:c r="G234" s="244"/>
      <x:c r="H234" s="245"/>
    </x:row>
    <x:row r="235" ht="34" customHeight="1">
      <x:c r="A235" s="246"/>
      <x:c r="B235" s="247"/>
      <x:c r="C235" s="247"/>
      <x:c r="D235" s="247"/>
      <x:c r="E235" s="247"/>
      <x:c r="F235" s="247"/>
      <x:c r="G235" s="247"/>
      <x:c r="H235" s="248"/>
    </x:row>
    <x:row r="236" ht="8" customHeight="1"/>
    <x:row r="237" ht="24" customHeight="1">
      <x:c r="A237" s="253" t="str">
        <x:v>A</x:v>
      </x:c>
      <x:c r="B237" s="99" t="str">
        <x:v>С момента запуска насоса.</x:v>
      </x:c>
      <x:c r="C237" s="100"/>
      <x:c r="D237" s="100"/>
      <x:c r="E237" s="100"/>
      <x:c r="F237" s="100"/>
      <x:c r="G237" s="100"/>
      <x:c r="H237" s="101"/>
    </x:row>
    <x:row r="238" ht="24" customHeight="1">
      <x:c r="A238" s="253" t="str">
        <x:v>B</x:v>
      </x:c>
      <x:c r="B238" s="99" t="str">
        <x:v>После поступления раствора в бурильные трубы.</x:v>
      </x:c>
      <x:c r="C238" s="100"/>
      <x:c r="D238" s="100"/>
      <x:c r="E238" s="100"/>
      <x:c r="F238" s="100"/>
      <x:c r="G238" s="100"/>
      <x:c r="H238" s="101"/>
    </x:row>
    <x:row r="239" ht="24" customHeight="1">
      <x:c r="A239" s="253" t="str">
        <x:v>C</x:v>
      </x:c>
      <x:c r="B239" s="99" t="str">
        <x:v>Через 30 сек после запуска насоса.</x:v>
      </x:c>
      <x:c r="C239" s="100"/>
      <x:c r="D239" s="100"/>
      <x:c r="E239" s="100"/>
      <x:c r="F239" s="100"/>
      <x:c r="G239" s="100"/>
      <x:c r="H239" s="101"/>
    </x:row>
    <x:row r="240" ht="8" customHeight="1"/>
    <x:row r="241" ht="28" customHeight="1">
      <x:c r="A241" s="258" t="str">
        <x:v>Ваш ответ:</x:v>
      </x:c>
      <x:c r="B241" s="259"/>
      <x:c r="C241" s="268"/>
      <x:c r="D241" s="269"/>
      <x:c r="E241" s="269"/>
      <x:c r="F241" s="269"/>
      <x:c r="G241" s="269"/>
      <x:c r="H241" s="270"/>
      <x:c r="Z241" t="n">
        <x:f>IF(C241="",0,IF(C241="B",1,0))</x:f>
        <x:v>0</x:v>
      </x:c>
      <x:c r="AA241" t="n">
        <x:f>IF(C241="",0,1)</x:f>
        <x:v>0</x:v>
      </x:c>
    </x:row>
    <x:row r="242" ht="8" customHeight="1"/>
    <x:row r="243" ht="30" customHeight="1">
      <x:c r="A243" s="343" t="str">
        <x:v>Комментарий:</x:v>
      </x:c>
      <x:c r="B243" s="344"/>
      <x:c r="C243" s="176" t="str">
        <x:f>IF(C241="","Выберите ответ.",IF(C241="A","Неверно. Этот вариант не соответствует ключу исходного теста. Правильный вариант: B.",IF(C241="B","Верно. Этот вариант соответствует ключу исходного теста.",IF(C241="C","Неверно. Этот вариант не соответствует ключу исходного теста. Правильный вариант: B.","Неверно. Ответ не распознан. Правильный вариант: B."))))</x:f>
        <x:v>Выберите ответ.</x:v>
      </x:c>
      <x:c r="D243" s="177"/>
      <x:c r="E243" s="177"/>
      <x:c r="F243" s="177"/>
      <x:c r="G243" s="177"/>
      <x:c r="H243" s="178"/>
    </x:row>
    <x:row r="244" ht="30" customHeight="1">
      <x:c r="A244" s="345"/>
      <x:c r="B244" s="346"/>
      <x:c r="C244" s="179"/>
      <x:c r="D244" s="180"/>
      <x:c r="E244" s="180"/>
      <x:c r="F244" s="180"/>
      <x:c r="G244" s="180"/>
      <x:c r="H244" s="181"/>
    </x:row>
    <x:row r="246" ht="24" customHeight="1">
      <x:c r="A246" s="228" t="str">
        <x:v>Вопрос 19 из 25</x:v>
      </x:c>
      <x:c r="B246" s="228"/>
      <x:c r="C246" s="228"/>
      <x:c r="D246" s="228"/>
      <x:c r="E246" s="228"/>
      <x:c r="F246" s="228"/>
      <x:c r="G246" s="228"/>
      <x:c r="H246" s="228"/>
    </x:row>
    <x:row r="247" ht="48" customHeight="1">
      <x:c r="A247" s="243" t="str">
        <x:v>Что Вы сделаете по спасению скважины, если во время вымыва флюида из скважины при ликвидации ГНВП порвёт буровой шланг или нарушится герметичность грязевой трубы вертлюга?</x:v>
      </x:c>
      <x:c r="B247" s="244"/>
      <x:c r="C247" s="244"/>
      <x:c r="D247" s="244"/>
      <x:c r="E247" s="244"/>
      <x:c r="F247" s="244"/>
      <x:c r="G247" s="244"/>
      <x:c r="H247" s="245"/>
    </x:row>
    <x:row r="248" ht="48" customHeight="1">
      <x:c r="A248" s="246"/>
      <x:c r="B248" s="247"/>
      <x:c r="C248" s="247"/>
      <x:c r="D248" s="247"/>
      <x:c r="E248" s="247"/>
      <x:c r="F248" s="247"/>
      <x:c r="G248" s="247"/>
      <x:c r="H248" s="248"/>
    </x:row>
    <x:row r="249" ht="8" customHeight="1"/>
    <x:row r="250" ht="24" customHeight="1">
      <x:c r="A250" s="253" t="str">
        <x:v>A</x:v>
      </x:c>
      <x:c r="B250" s="99" t="str">
        <x:v>Закроете задвижку на манифольде стояка.</x:v>
      </x:c>
      <x:c r="C250" s="100"/>
      <x:c r="D250" s="100"/>
      <x:c r="E250" s="100"/>
      <x:c r="F250" s="100"/>
      <x:c r="G250" s="100"/>
      <x:c r="H250" s="101"/>
    </x:row>
    <x:row r="251" ht="24" customHeight="1">
      <x:c r="A251" s="253" t="str">
        <x:v>B</x:v>
      </x:c>
      <x:c r="B251" s="99" t="str">
        <x:v>Закроете превентор со срезными плашками.</x:v>
      </x:c>
      <x:c r="C251" s="100"/>
      <x:c r="D251" s="100"/>
      <x:c r="E251" s="100"/>
      <x:c r="F251" s="100"/>
      <x:c r="G251" s="100"/>
      <x:c r="H251" s="101"/>
    </x:row>
    <x:row r="252" ht="24" customHeight="1">
      <x:c r="A252" s="253" t="str">
        <x:v>C</x:v>
      </x:c>
      <x:c r="B252" s="99" t="str">
        <x:v>Закроете шаровый кран колонны бурильных труб, затем закроете дроссель.</x:v>
      </x:c>
      <x:c r="C252" s="100"/>
      <x:c r="D252" s="100"/>
      <x:c r="E252" s="100"/>
      <x:c r="F252" s="100"/>
      <x:c r="G252" s="100"/>
      <x:c r="H252" s="101"/>
    </x:row>
    <x:row r="253" ht="24" customHeight="1">
      <x:c r="A253" s="253" t="str">
        <x:v>D</x:v>
      </x:c>
      <x:c r="B253" s="99" t="str">
        <x:v>Немедленно навернете обратный клапан, для того чтобы остановить поступление флюида.</x:v>
      </x:c>
      <x:c r="C253" s="100"/>
      <x:c r="D253" s="100"/>
      <x:c r="E253" s="100"/>
      <x:c r="F253" s="100"/>
      <x:c r="G253" s="100"/>
      <x:c r="H253" s="101"/>
    </x:row>
    <x:row r="254" ht="8" customHeight="1"/>
    <x:row r="255" ht="28" customHeight="1">
      <x:c r="A255" s="258" t="str">
        <x:v>Ваш ответ:</x:v>
      </x:c>
      <x:c r="B255" s="259"/>
      <x:c r="C255" s="268"/>
      <x:c r="D255" s="269"/>
      <x:c r="E255" s="269"/>
      <x:c r="F255" s="269"/>
      <x:c r="G255" s="269"/>
      <x:c r="H255" s="270"/>
      <x:c r="Z255" t="n">
        <x:f>IF(C255="",0,IF(C255="C",1,0))</x:f>
        <x:v>0</x:v>
      </x:c>
      <x:c r="AA255" t="n">
        <x:f>IF(C255="",0,1)</x:f>
        <x:v>0</x:v>
      </x:c>
    </x:row>
    <x:row r="256" ht="8" customHeight="1"/>
    <x:row r="257" ht="30" customHeight="1">
      <x:c r="A257" s="343" t="str">
        <x:v>Комментарий:</x:v>
      </x:c>
      <x:c r="B257" s="344"/>
      <x:c r="C257" s="176" t="str">
        <x:f>IF(C255="","Выберите ответ.",IF(C255="A","Неверно. Это действие не соответствует требуемому алгоритму. Правильный вариант: C.",IF(C255="B","Неверно. Это действие не соответствует требуемому алгоритму. Правильный вариант: C.",IF(C255="C","Верно. Выбранное действие соответствует алгоритму, принятому в исходном тесте.",IF(C255="D","Неверно. Это действие не соответствует требуемому алгоритму. Правильный вариант: C.","Неверно. Ответ не распознан. Правильный вариант: C.")))))</x:f>
        <x:v>Выберите ответ.</x:v>
      </x:c>
      <x:c r="D257" s="177"/>
      <x:c r="E257" s="177"/>
      <x:c r="F257" s="177"/>
      <x:c r="G257" s="177"/>
      <x:c r="H257" s="178"/>
    </x:row>
    <x:row r="258" ht="30" customHeight="1">
      <x:c r="A258" s="345"/>
      <x:c r="B258" s="346"/>
      <x:c r="C258" s="179"/>
      <x:c r="D258" s="180"/>
      <x:c r="E258" s="180"/>
      <x:c r="F258" s="180"/>
      <x:c r="G258" s="180"/>
      <x:c r="H258" s="181"/>
    </x:row>
    <x:row r="260" ht="24" customHeight="1">
      <x:c r="A260" s="228" t="str">
        <x:v>Вопрос 20 из 25</x:v>
      </x:c>
      <x:c r="B260" s="228"/>
      <x:c r="C260" s="228"/>
      <x:c r="D260" s="228"/>
      <x:c r="E260" s="228"/>
      <x:c r="F260" s="228"/>
      <x:c r="G260" s="228"/>
      <x:c r="H260" s="228"/>
    </x:row>
    <x:row r="261" ht="48" customHeight="1">
      <x:c r="A261" s="243" t="str">
        <x:v>Укажите вероятную причину создания нештатной ситуации при ликвидации ГНВП, если давления в бурильных трубах и затрубном пространстве повышаются:</x:v>
      </x:c>
      <x:c r="B261" s="244"/>
      <x:c r="C261" s="244"/>
      <x:c r="D261" s="244"/>
      <x:c r="E261" s="244"/>
      <x:c r="F261" s="244"/>
      <x:c r="G261" s="244"/>
      <x:c r="H261" s="245"/>
    </x:row>
    <x:row r="262" ht="48" customHeight="1">
      <x:c r="A262" s="246"/>
      <x:c r="B262" s="247"/>
      <x:c r="C262" s="247"/>
      <x:c r="D262" s="247"/>
      <x:c r="E262" s="247"/>
      <x:c r="F262" s="247"/>
      <x:c r="G262" s="247"/>
      <x:c r="H262" s="248"/>
    </x:row>
    <x:row r="263" ht="8" customHeight="1"/>
    <x:row r="264" ht="24" customHeight="1">
      <x:c r="A264" s="253" t="str">
        <x:v>A</x:v>
      </x:c>
      <x:c r="B264" s="99" t="str">
        <x:v>Частичная закупорка (засорение дросселя).</x:v>
      </x:c>
      <x:c r="C264" s="100"/>
      <x:c r="D264" s="100"/>
      <x:c r="E264" s="100"/>
      <x:c r="F264" s="100"/>
      <x:c r="G264" s="100"/>
      <x:c r="H264" s="101"/>
    </x:row>
    <x:row r="265" ht="24" customHeight="1">
      <x:c r="A265" s="253" t="str">
        <x:v>B</x:v>
      </x:c>
      <x:c r="B265" s="99" t="str">
        <x:v>Частичный промыв дросселя.</x:v>
      </x:c>
      <x:c r="C265" s="100"/>
      <x:c r="D265" s="100"/>
      <x:c r="E265" s="100"/>
      <x:c r="F265" s="100"/>
      <x:c r="G265" s="100"/>
      <x:c r="H265" s="101"/>
    </x:row>
    <x:row r="266" ht="24" customHeight="1">
      <x:c r="A266" s="253" t="str">
        <x:v>C</x:v>
      </x:c>
      <x:c r="B266" s="99" t="str">
        <x:v>Закупорка (засорение) насадки долота.</x:v>
      </x:c>
      <x:c r="C266" s="100"/>
      <x:c r="D266" s="100"/>
      <x:c r="E266" s="100"/>
      <x:c r="F266" s="100"/>
      <x:c r="G266" s="100"/>
      <x:c r="H266" s="101"/>
    </x:row>
    <x:row r="267" ht="24" customHeight="1">
      <x:c r="A267" s="253" t="str">
        <x:v>D</x:v>
      </x:c>
      <x:c r="B267" s="99" t="str">
        <x:v>Промыв бурильной колонны, промыв насадок долота.</x:v>
      </x:c>
      <x:c r="C267" s="100"/>
      <x:c r="D267" s="100"/>
      <x:c r="E267" s="100"/>
      <x:c r="F267" s="100"/>
      <x:c r="G267" s="100"/>
      <x:c r="H267" s="101"/>
    </x:row>
    <x:row r="268" ht="24" customHeight="1">
      <x:c r="A268" s="253" t="str">
        <x:v>E</x:v>
      </x:c>
      <x:c r="B268" s="99" t="str">
        <x:v>Частичное поглощение бурового раствора.</x:v>
      </x:c>
      <x:c r="C268" s="100"/>
      <x:c r="D268" s="100"/>
      <x:c r="E268" s="100"/>
      <x:c r="F268" s="100"/>
      <x:c r="G268" s="100"/>
      <x:c r="H268" s="101"/>
    </x:row>
    <x:row r="269" ht="8" customHeight="1"/>
    <x:row r="270" ht="28" customHeight="1">
      <x:c r="A270" s="258" t="str">
        <x:v>Ваш ответ:</x:v>
      </x:c>
      <x:c r="B270" s="259"/>
      <x:c r="C270" s="268"/>
      <x:c r="D270" s="269"/>
      <x:c r="E270" s="269"/>
      <x:c r="F270" s="269"/>
      <x:c r="G270" s="269"/>
      <x:c r="H270" s="270"/>
      <x:c r="Z270" t="n">
        <x:f>IF(C270="",0,IF(C270="A",1,0))</x:f>
        <x:v>0</x:v>
      </x:c>
      <x:c r="AA270" t="n">
        <x:f>IF(C270="",0,1)</x:f>
        <x:v>0</x:v>
      </x:c>
    </x:row>
    <x:row r="271" ht="8" customHeight="1"/>
    <x:row r="272" ht="30" customHeight="1">
      <x:c r="A272" s="343" t="str">
        <x:v>Комментарий:</x:v>
      </x:c>
      <x:c r="B272" s="344"/>
      <x:c r="C272" s="176" t="str">
        <x:f>IF(C270="","Выберите ответ.",IF(C270="A","Верно. Эта причина соответствует описанному признаку или условию.",IF(C270="B","Неверно. Эта причина не соответствует описанному признаку или условию. Правильный вариант: A.",IF(C270="C","Неверно. Эта причина не соответствует описанному признаку или условию. Правильный вариант: A.",IF(C270="D","Неверно. Эта причина не соответствует описанному признаку или условию. Правильный вариант: A.",IF(C270="E","Неверно. Эта причина не соответствует описанному признаку или условию. Правильный вариант: A.","Неверно. Ответ не распознан. Правильный вариант: A."))))))</x:f>
        <x:v>Выберите ответ.</x:v>
      </x:c>
      <x:c r="D272" s="177"/>
      <x:c r="E272" s="177"/>
      <x:c r="F272" s="177"/>
      <x:c r="G272" s="177"/>
      <x:c r="H272" s="178"/>
    </x:row>
    <x:row r="273" ht="30" customHeight="1">
      <x:c r="A273" s="345"/>
      <x:c r="B273" s="346"/>
      <x:c r="C273" s="179"/>
      <x:c r="D273" s="180"/>
      <x:c r="E273" s="180"/>
      <x:c r="F273" s="180"/>
      <x:c r="G273" s="180"/>
      <x:c r="H273" s="181"/>
    </x:row>
    <x:row r="275" ht="24" customHeight="1">
      <x:c r="A275" s="228" t="str">
        <x:v>Вопрос 21 из 25</x:v>
      </x:c>
      <x:c r="B275" s="228"/>
      <x:c r="C275" s="228"/>
      <x:c r="D275" s="228"/>
      <x:c r="E275" s="228"/>
      <x:c r="F275" s="228"/>
      <x:c r="G275" s="228"/>
      <x:c r="H275" s="228"/>
    </x:row>
    <x:row r="276" ht="48" customHeight="1">
      <x:c r="A276" s="243" t="str">
        <x:v>Укажите вероятную причину создания нештатной ситуации при ликвидации ГНВП, если давления в бурильных трубах и затрубном пространстве понижаются:</x:v>
      </x:c>
      <x:c r="B276" s="244"/>
      <x:c r="C276" s="244"/>
      <x:c r="D276" s="244"/>
      <x:c r="E276" s="244"/>
      <x:c r="F276" s="244"/>
      <x:c r="G276" s="244"/>
      <x:c r="H276" s="245"/>
    </x:row>
    <x:row r="277" ht="48" customHeight="1">
      <x:c r="A277" s="246"/>
      <x:c r="B277" s="247"/>
      <x:c r="C277" s="247"/>
      <x:c r="D277" s="247"/>
      <x:c r="E277" s="247"/>
      <x:c r="F277" s="247"/>
      <x:c r="G277" s="247"/>
      <x:c r="H277" s="248"/>
    </x:row>
    <x:row r="278" ht="8" customHeight="1"/>
    <x:row r="279" ht="24" customHeight="1">
      <x:c r="A279" s="253" t="str">
        <x:v>A</x:v>
      </x:c>
      <x:c r="B279" s="99" t="str">
        <x:v>Частичная закупорка (засорение дросселя).</x:v>
      </x:c>
      <x:c r="C279" s="100"/>
      <x:c r="D279" s="100"/>
      <x:c r="E279" s="100"/>
      <x:c r="F279" s="100"/>
      <x:c r="G279" s="100"/>
      <x:c r="H279" s="101"/>
    </x:row>
    <x:row r="280" ht="24" customHeight="1">
      <x:c r="A280" s="253" t="str">
        <x:v>B</x:v>
      </x:c>
      <x:c r="B280" s="99" t="str">
        <x:v>Частичный промыв дросселя.</x:v>
      </x:c>
      <x:c r="C280" s="100"/>
      <x:c r="D280" s="100"/>
      <x:c r="E280" s="100"/>
      <x:c r="F280" s="100"/>
      <x:c r="G280" s="100"/>
      <x:c r="H280" s="101"/>
    </x:row>
    <x:row r="281" ht="24" customHeight="1">
      <x:c r="A281" s="253" t="str">
        <x:v>C</x:v>
      </x:c>
      <x:c r="B281" s="99" t="str">
        <x:v>Закупорка (засорение) насадки долота.</x:v>
      </x:c>
      <x:c r="C281" s="100"/>
      <x:c r="D281" s="100"/>
      <x:c r="E281" s="100"/>
      <x:c r="F281" s="100"/>
      <x:c r="G281" s="100"/>
      <x:c r="H281" s="101"/>
    </x:row>
    <x:row r="282" ht="24" customHeight="1">
      <x:c r="A282" s="253" t="str">
        <x:v>D</x:v>
      </x:c>
      <x:c r="B282" s="99" t="str">
        <x:v>Промыв бурильной колонны, промыв насадок долота.</x:v>
      </x:c>
      <x:c r="C282" s="100"/>
      <x:c r="D282" s="100"/>
      <x:c r="E282" s="100"/>
      <x:c r="F282" s="100"/>
      <x:c r="G282" s="100"/>
      <x:c r="H282" s="101"/>
    </x:row>
    <x:row r="283" ht="24" customHeight="1">
      <x:c r="A283" s="253" t="str">
        <x:v>E</x:v>
      </x:c>
      <x:c r="B283" s="99" t="str">
        <x:v>Частичное поглощение бурового раствора.</x:v>
      </x:c>
      <x:c r="C283" s="100"/>
      <x:c r="D283" s="100"/>
      <x:c r="E283" s="100"/>
      <x:c r="F283" s="100"/>
      <x:c r="G283" s="100"/>
      <x:c r="H283" s="101"/>
    </x:row>
    <x:row r="284" ht="8" customHeight="1"/>
    <x:row r="285" ht="28" customHeight="1">
      <x:c r="A285" s="258" t="str">
        <x:v>Ваш ответ:</x:v>
      </x:c>
      <x:c r="B285" s="259"/>
      <x:c r="C285" s="268"/>
      <x:c r="D285" s="269"/>
      <x:c r="E285" s="269"/>
      <x:c r="F285" s="269"/>
      <x:c r="G285" s="269"/>
      <x:c r="H285" s="270"/>
      <x:c r="Z285" t="n">
        <x:f>IF(C285="",0,IF(C285="B",1,0))</x:f>
        <x:v>0</x:v>
      </x:c>
      <x:c r="AA285" t="n">
        <x:f>IF(C285="",0,1)</x:f>
        <x:v>0</x:v>
      </x:c>
    </x:row>
    <x:row r="286" ht="8" customHeight="1"/>
    <x:row r="287" ht="30" customHeight="1">
      <x:c r="A287" s="343" t="str">
        <x:v>Комментарий:</x:v>
      </x:c>
      <x:c r="B287" s="344"/>
      <x:c r="C287" s="176" t="str">
        <x:f>IF(C285="","Выберите ответ.",IF(C285="A","Неверно. Эта причина не соответствует описанному признаку или условию. Правильный вариант: B.",IF(C285="B","Верно. Эта причина соответствует описанному признаку или условию.",IF(C285="C","Неверно. Эта причина не соответствует описанному признаку или условию. Правильный вариант: B.",IF(C285="D","Неверно. Эта причина не соответствует описанному признаку или условию. Правильный вариант: B.",IF(C285="E","Неверно. Эта причина не соответствует описанному признаку или условию. Правильный вариант: B.","Неверно. Ответ не распознан. Правильный вариант: B."))))))</x:f>
        <x:v>Выберите ответ.</x:v>
      </x:c>
      <x:c r="D287" s="177"/>
      <x:c r="E287" s="177"/>
      <x:c r="F287" s="177"/>
      <x:c r="G287" s="177"/>
      <x:c r="H287" s="178"/>
    </x:row>
    <x:row r="288" ht="30" customHeight="1">
      <x:c r="A288" s="345"/>
      <x:c r="B288" s="346"/>
      <x:c r="C288" s="179"/>
      <x:c r="D288" s="180"/>
      <x:c r="E288" s="180"/>
      <x:c r="F288" s="180"/>
      <x:c r="G288" s="180"/>
      <x:c r="H288" s="181"/>
    </x:row>
    <x:row r="290" ht="24" customHeight="1">
      <x:c r="A290" s="228" t="str">
        <x:v>Вопрос 22 из 25</x:v>
      </x:c>
      <x:c r="B290" s="228"/>
      <x:c r="C290" s="228"/>
      <x:c r="D290" s="228"/>
      <x:c r="E290" s="228"/>
      <x:c r="F290" s="228"/>
      <x:c r="G290" s="228"/>
      <x:c r="H290" s="228"/>
    </x:row>
    <x:row r="291" ht="48" customHeight="1">
      <x:c r="A291" s="243" t="str">
        <x:v>Укажите вероятную причину создания нештатной ситуации при ликвидации ГНВП, если давление в бурильных трубах повышается, а в затрубном пространстве не изменяется:</x:v>
      </x:c>
      <x:c r="B291" s="244"/>
      <x:c r="C291" s="244"/>
      <x:c r="D291" s="244"/>
      <x:c r="E291" s="244"/>
      <x:c r="F291" s="244"/>
      <x:c r="G291" s="244"/>
      <x:c r="H291" s="245"/>
    </x:row>
    <x:row r="292" ht="48" customHeight="1">
      <x:c r="A292" s="246"/>
      <x:c r="B292" s="247"/>
      <x:c r="C292" s="247"/>
      <x:c r="D292" s="247"/>
      <x:c r="E292" s="247"/>
      <x:c r="F292" s="247"/>
      <x:c r="G292" s="247"/>
      <x:c r="H292" s="248"/>
    </x:row>
    <x:row r="293" ht="8" customHeight="1"/>
    <x:row r="294" ht="24" customHeight="1">
      <x:c r="A294" s="253" t="str">
        <x:v>A</x:v>
      </x:c>
      <x:c r="B294" s="99" t="str">
        <x:v>Частичная закупорка (засорение дросселя).</x:v>
      </x:c>
      <x:c r="C294" s="100"/>
      <x:c r="D294" s="100"/>
      <x:c r="E294" s="100"/>
      <x:c r="F294" s="100"/>
      <x:c r="G294" s="100"/>
      <x:c r="H294" s="101"/>
    </x:row>
    <x:row r="295" ht="24" customHeight="1">
      <x:c r="A295" s="253" t="str">
        <x:v>B</x:v>
      </x:c>
      <x:c r="B295" s="99" t="str">
        <x:v>Частичный промыв дросселя.</x:v>
      </x:c>
      <x:c r="C295" s="100"/>
      <x:c r="D295" s="100"/>
      <x:c r="E295" s="100"/>
      <x:c r="F295" s="100"/>
      <x:c r="G295" s="100"/>
      <x:c r="H295" s="101"/>
    </x:row>
    <x:row r="296" ht="24" customHeight="1">
      <x:c r="A296" s="253" t="str">
        <x:v>C</x:v>
      </x:c>
      <x:c r="B296" s="99" t="str">
        <x:v>Закупорка (засорение) насадки долота.</x:v>
      </x:c>
      <x:c r="C296" s="100"/>
      <x:c r="D296" s="100"/>
      <x:c r="E296" s="100"/>
      <x:c r="F296" s="100"/>
      <x:c r="G296" s="100"/>
      <x:c r="H296" s="101"/>
    </x:row>
    <x:row r="297" ht="24" customHeight="1">
      <x:c r="A297" s="253" t="str">
        <x:v>D</x:v>
      </x:c>
      <x:c r="B297" s="99" t="str">
        <x:v>Промыв бурильной колонны, промыв насадок долота.</x:v>
      </x:c>
      <x:c r="C297" s="100"/>
      <x:c r="D297" s="100"/>
      <x:c r="E297" s="100"/>
      <x:c r="F297" s="100"/>
      <x:c r="G297" s="100"/>
      <x:c r="H297" s="101"/>
    </x:row>
    <x:row r="298" ht="24" customHeight="1">
      <x:c r="A298" s="253" t="str">
        <x:v>E</x:v>
      </x:c>
      <x:c r="B298" s="99" t="str">
        <x:v>Частичное поглощение бурового раствора.</x:v>
      </x:c>
      <x:c r="C298" s="100"/>
      <x:c r="D298" s="100"/>
      <x:c r="E298" s="100"/>
      <x:c r="F298" s="100"/>
      <x:c r="G298" s="100"/>
      <x:c r="H298" s="101"/>
    </x:row>
    <x:row r="299" ht="8" customHeight="1"/>
    <x:row r="300" ht="28" customHeight="1">
      <x:c r="A300" s="258" t="str">
        <x:v>Ваш ответ:</x:v>
      </x:c>
      <x:c r="B300" s="259"/>
      <x:c r="C300" s="268"/>
      <x:c r="D300" s="269"/>
      <x:c r="E300" s="269"/>
      <x:c r="F300" s="269"/>
      <x:c r="G300" s="269"/>
      <x:c r="H300" s="270"/>
      <x:c r="Z300" t="n">
        <x:f>IF(C300="",0,IF(C300="C",1,0))</x:f>
        <x:v>0</x:v>
      </x:c>
      <x:c r="AA300" t="n">
        <x:f>IF(C300="",0,1)</x:f>
        <x:v>0</x:v>
      </x:c>
    </x:row>
    <x:row r="301" ht="8" customHeight="1"/>
    <x:row r="302" ht="30" customHeight="1">
      <x:c r="A302" s="343" t="str">
        <x:v>Комментарий:</x:v>
      </x:c>
      <x:c r="B302" s="344"/>
      <x:c r="C302" s="176" t="str">
        <x:f>IF(C300="","Выберите ответ.",IF(C300="A","Неверно. Эта причина не соответствует описанному признаку или условию. Правильный вариант: C.",IF(C300="B","Неверно. Эта причина не соответствует описанному признаку или условию. Правильный вариант: C.",IF(C300="C","Верно. Эта причина соответствует описанному признаку или условию.",IF(C300="D","Неверно. Эта причина не соответствует описанному признаку или условию. Правильный вариант: C.",IF(C300="E","Неверно. Эта причина не соответствует описанному признаку или условию. Правильный вариант: C.","Неверно. Ответ не распознан. Правильный вариант: C."))))))</x:f>
        <x:v>Выберите ответ.</x:v>
      </x:c>
      <x:c r="D302" s="177"/>
      <x:c r="E302" s="177"/>
      <x:c r="F302" s="177"/>
      <x:c r="G302" s="177"/>
      <x:c r="H302" s="178"/>
    </x:row>
    <x:row r="303" ht="30" customHeight="1">
      <x:c r="A303" s="345"/>
      <x:c r="B303" s="346"/>
      <x:c r="C303" s="179"/>
      <x:c r="D303" s="180"/>
      <x:c r="E303" s="180"/>
      <x:c r="F303" s="180"/>
      <x:c r="G303" s="180"/>
      <x:c r="H303" s="181"/>
    </x:row>
    <x:row r="305" ht="24" customHeight="1">
      <x:c r="A305" s="228" t="str">
        <x:v>Вопрос 23 из 25</x:v>
      </x:c>
      <x:c r="B305" s="228"/>
      <x:c r="C305" s="228"/>
      <x:c r="D305" s="228"/>
      <x:c r="E305" s="228"/>
      <x:c r="F305" s="228"/>
      <x:c r="G305" s="228"/>
      <x:c r="H305" s="228"/>
    </x:row>
    <x:row r="306" ht="48" customHeight="1">
      <x:c r="A306" s="243" t="str">
        <x:v>Укажите вероятную причину создания нештатной ситуации при ликвидации ГНВП, если давление в бурильных трубах понижается, а в затрубном пространстве не изменяется:</x:v>
      </x:c>
      <x:c r="B306" s="244"/>
      <x:c r="C306" s="244"/>
      <x:c r="D306" s="244"/>
      <x:c r="E306" s="244"/>
      <x:c r="F306" s="244"/>
      <x:c r="G306" s="244"/>
      <x:c r="H306" s="245"/>
    </x:row>
    <x:row r="307" ht="48" customHeight="1">
      <x:c r="A307" s="246"/>
      <x:c r="B307" s="247"/>
      <x:c r="C307" s="247"/>
      <x:c r="D307" s="247"/>
      <x:c r="E307" s="247"/>
      <x:c r="F307" s="247"/>
      <x:c r="G307" s="247"/>
      <x:c r="H307" s="248"/>
    </x:row>
    <x:row r="308" ht="8" customHeight="1"/>
    <x:row r="309" ht="24" customHeight="1">
      <x:c r="A309" s="253" t="str">
        <x:v>A</x:v>
      </x:c>
      <x:c r="B309" s="99" t="str">
        <x:v>Частичная закупорка (засорение дросселя).</x:v>
      </x:c>
      <x:c r="C309" s="100"/>
      <x:c r="D309" s="100"/>
      <x:c r="E309" s="100"/>
      <x:c r="F309" s="100"/>
      <x:c r="G309" s="100"/>
      <x:c r="H309" s="101"/>
    </x:row>
    <x:row r="310" ht="24" customHeight="1">
      <x:c r="A310" s="253" t="str">
        <x:v>B</x:v>
      </x:c>
      <x:c r="B310" s="99" t="str">
        <x:v>Частичный промыв дросселя.</x:v>
      </x:c>
      <x:c r="C310" s="100"/>
      <x:c r="D310" s="100"/>
      <x:c r="E310" s="100"/>
      <x:c r="F310" s="100"/>
      <x:c r="G310" s="100"/>
      <x:c r="H310" s="101"/>
    </x:row>
    <x:row r="311" ht="24" customHeight="1">
      <x:c r="A311" s="253" t="str">
        <x:v>C</x:v>
      </x:c>
      <x:c r="B311" s="99" t="str">
        <x:v>Закупорка (засорение) насадки долота.</x:v>
      </x:c>
      <x:c r="C311" s="100"/>
      <x:c r="D311" s="100"/>
      <x:c r="E311" s="100"/>
      <x:c r="F311" s="100"/>
      <x:c r="G311" s="100"/>
      <x:c r="H311" s="101"/>
    </x:row>
    <x:row r="312" ht="24" customHeight="1">
      <x:c r="A312" s="253" t="str">
        <x:v>D</x:v>
      </x:c>
      <x:c r="B312" s="99" t="str">
        <x:v>Промыв бурильной колонны, промыв насадок долота.</x:v>
      </x:c>
      <x:c r="C312" s="100"/>
      <x:c r="D312" s="100"/>
      <x:c r="E312" s="100"/>
      <x:c r="F312" s="100"/>
      <x:c r="G312" s="100"/>
      <x:c r="H312" s="101"/>
    </x:row>
    <x:row r="313" ht="24" customHeight="1">
      <x:c r="A313" s="253" t="str">
        <x:v>E</x:v>
      </x:c>
      <x:c r="B313" s="99" t="str">
        <x:v>Частичное поглощение бурового раствора.</x:v>
      </x:c>
      <x:c r="C313" s="100"/>
      <x:c r="D313" s="100"/>
      <x:c r="E313" s="100"/>
      <x:c r="F313" s="100"/>
      <x:c r="G313" s="100"/>
      <x:c r="H313" s="101"/>
    </x:row>
    <x:row r="314" ht="8" customHeight="1"/>
    <x:row r="315" ht="28" customHeight="1">
      <x:c r="A315" s="258" t="str">
        <x:v>Ваш ответ:</x:v>
      </x:c>
      <x:c r="B315" s="259"/>
      <x:c r="C315" s="268"/>
      <x:c r="D315" s="269"/>
      <x:c r="E315" s="269"/>
      <x:c r="F315" s="269"/>
      <x:c r="G315" s="269"/>
      <x:c r="H315" s="270"/>
      <x:c r="Z315" t="n">
        <x:f>IF(C315="",0,IF(C315="D",1,0))</x:f>
        <x:v>0</x:v>
      </x:c>
      <x:c r="AA315" t="n">
        <x:f>IF(C315="",0,1)</x:f>
        <x:v>0</x:v>
      </x:c>
    </x:row>
    <x:row r="316" ht="8" customHeight="1"/>
    <x:row r="317" ht="30" customHeight="1">
      <x:c r="A317" s="343" t="str">
        <x:v>Комментарий:</x:v>
      </x:c>
      <x:c r="B317" s="344"/>
      <x:c r="C317" s="176" t="str">
        <x:f>IF(C315="","Выберите ответ.",IF(C315="A","Неверно. Эта причина не соответствует описанному признаку или условию. Правильный вариант: D.",IF(C315="B","Неверно. Эта причина не соответствует описанному признаку или условию. Правильный вариант: D.",IF(C315="C","Неверно. Эта причина не соответствует описанному признаку или условию. Правильный вариант: D.",IF(C315="D","Верно. Эта причина соответствует описанному признаку или условию.",IF(C315="E","Неверно. Эта причина не соответствует описанному признаку или условию. Правильный вариант: D.","Неверно. Ответ не распознан. Правильный вариант: D."))))))</x:f>
        <x:v>Выберите ответ.</x:v>
      </x:c>
      <x:c r="D317" s="177"/>
      <x:c r="E317" s="177"/>
      <x:c r="F317" s="177"/>
      <x:c r="G317" s="177"/>
      <x:c r="H317" s="178"/>
    </x:row>
    <x:row r="318" ht="30" customHeight="1">
      <x:c r="A318" s="345"/>
      <x:c r="B318" s="346"/>
      <x:c r="C318" s="179"/>
      <x:c r="D318" s="180"/>
      <x:c r="E318" s="180"/>
      <x:c r="F318" s="180"/>
      <x:c r="G318" s="180"/>
      <x:c r="H318" s="181"/>
    </x:row>
    <x:row r="320" ht="24" customHeight="1">
      <x:c r="A320" s="228" t="str">
        <x:v>Вопрос 24 из 25</x:v>
      </x:c>
      <x:c r="B320" s="228"/>
      <x:c r="C320" s="228"/>
      <x:c r="D320" s="228"/>
      <x:c r="E320" s="228"/>
      <x:c r="F320" s="228"/>
      <x:c r="G320" s="228"/>
      <x:c r="H320" s="228"/>
    </x:row>
    <x:row r="321" ht="48" customHeight="1">
      <x:c r="A321" s="243" t="str">
        <x:v>Укажите вероятную причину создания нештатной ситуации при ликвидации ГНВП, если давления в бурильных трубах и затрубном пространстве понижаются и наблюдается снижение уровня раствора в ёмкостях:</x:v>
      </x:c>
      <x:c r="B321" s="244"/>
      <x:c r="C321" s="244"/>
      <x:c r="D321" s="244"/>
      <x:c r="E321" s="244"/>
      <x:c r="F321" s="244"/>
      <x:c r="G321" s="244"/>
      <x:c r="H321" s="245"/>
    </x:row>
    <x:row r="322" ht="48" customHeight="1">
      <x:c r="A322" s="246"/>
      <x:c r="B322" s="247"/>
      <x:c r="C322" s="247"/>
      <x:c r="D322" s="247"/>
      <x:c r="E322" s="247"/>
      <x:c r="F322" s="247"/>
      <x:c r="G322" s="247"/>
      <x:c r="H322" s="248"/>
    </x:row>
    <x:row r="323" ht="8" customHeight="1"/>
    <x:row r="324" ht="24" customHeight="1">
      <x:c r="A324" s="253" t="str">
        <x:v>A</x:v>
      </x:c>
      <x:c r="B324" s="99" t="str">
        <x:v>Частичная закупорка (засорение дросселя).</x:v>
      </x:c>
      <x:c r="C324" s="100"/>
      <x:c r="D324" s="100"/>
      <x:c r="E324" s="100"/>
      <x:c r="F324" s="100"/>
      <x:c r="G324" s="100"/>
      <x:c r="H324" s="101"/>
    </x:row>
    <x:row r="325" ht="24" customHeight="1">
      <x:c r="A325" s="253" t="str">
        <x:v>B</x:v>
      </x:c>
      <x:c r="B325" s="99" t="str">
        <x:v>Частичный промыв дросселя.</x:v>
      </x:c>
      <x:c r="C325" s="100"/>
      <x:c r="D325" s="100"/>
      <x:c r="E325" s="100"/>
      <x:c r="F325" s="100"/>
      <x:c r="G325" s="100"/>
      <x:c r="H325" s="101"/>
    </x:row>
    <x:row r="326" ht="24" customHeight="1">
      <x:c r="A326" s="253" t="str">
        <x:v>C</x:v>
      </x:c>
      <x:c r="B326" s="99" t="str">
        <x:v>Закупорка (засорение) насадки долота.</x:v>
      </x:c>
      <x:c r="C326" s="100"/>
      <x:c r="D326" s="100"/>
      <x:c r="E326" s="100"/>
      <x:c r="F326" s="100"/>
      <x:c r="G326" s="100"/>
      <x:c r="H326" s="101"/>
    </x:row>
    <x:row r="327" ht="24" customHeight="1">
      <x:c r="A327" s="253" t="str">
        <x:v>D</x:v>
      </x:c>
      <x:c r="B327" s="99" t="str">
        <x:v>Промыв бурильной колонны, промыв насадок долота.</x:v>
      </x:c>
      <x:c r="C327" s="100"/>
      <x:c r="D327" s="100"/>
      <x:c r="E327" s="100"/>
      <x:c r="F327" s="100"/>
      <x:c r="G327" s="100"/>
      <x:c r="H327" s="101"/>
    </x:row>
    <x:row r="328" ht="24" customHeight="1">
      <x:c r="A328" s="253" t="str">
        <x:v>E</x:v>
      </x:c>
      <x:c r="B328" s="99" t="str">
        <x:v>Частичное поглощение бурового раствора.</x:v>
      </x:c>
      <x:c r="C328" s="100"/>
      <x:c r="D328" s="100"/>
      <x:c r="E328" s="100"/>
      <x:c r="F328" s="100"/>
      <x:c r="G328" s="100"/>
      <x:c r="H328" s="101"/>
    </x:row>
    <x:row r="329" ht="8" customHeight="1"/>
    <x:row r="330" ht="28" customHeight="1">
      <x:c r="A330" s="258" t="str">
        <x:v>Ваш ответ:</x:v>
      </x:c>
      <x:c r="B330" s="259"/>
      <x:c r="C330" s="268"/>
      <x:c r="D330" s="269"/>
      <x:c r="E330" s="269"/>
      <x:c r="F330" s="269"/>
      <x:c r="G330" s="269"/>
      <x:c r="H330" s="270"/>
      <x:c r="Z330" t="n">
        <x:f>IF(C330="",0,IF(C330="E",1,0))</x:f>
        <x:v>0</x:v>
      </x:c>
      <x:c r="AA330" t="n">
        <x:f>IF(C330="",0,1)</x:f>
        <x:v>0</x:v>
      </x:c>
    </x:row>
    <x:row r="331" ht="8" customHeight="1"/>
    <x:row r="332" ht="30" customHeight="1">
      <x:c r="A332" s="343" t="str">
        <x:v>Комментарий:</x:v>
      </x:c>
      <x:c r="B332" s="344"/>
      <x:c r="C332" s="176" t="str">
        <x:f>IF(C330="","Выберите ответ.",IF(C330="A","Неверно. Эта причина не соответствует описанному признаку или условию. Правильный вариант: E.",IF(C330="B","Неверно. Эта причина не соответствует описанному признаку или условию. Правильный вариант: E.",IF(C330="C","Неверно. Эта причина не соответствует описанному признаку или условию. Правильный вариант: E.",IF(C330="D","Неверно. Эта причина не соответствует описанному признаку или условию. Правильный вариант: E.",IF(C330="E","Верно. Эта причина соответствует описанному признаку или условию.","Неверно. Ответ не распознан. Правильный вариант: E."))))))</x:f>
        <x:v>Выберите ответ.</x:v>
      </x:c>
      <x:c r="D332" s="177"/>
      <x:c r="E332" s="177"/>
      <x:c r="F332" s="177"/>
      <x:c r="G332" s="177"/>
      <x:c r="H332" s="178"/>
    </x:row>
    <x:row r="333" ht="30" customHeight="1">
      <x:c r="A333" s="345"/>
      <x:c r="B333" s="346"/>
      <x:c r="C333" s="179"/>
      <x:c r="D333" s="180"/>
      <x:c r="E333" s="180"/>
      <x:c r="F333" s="180"/>
      <x:c r="G333" s="180"/>
      <x:c r="H333" s="181"/>
    </x:row>
    <x:row r="335" ht="24" customHeight="1">
      <x:c r="A335" s="228" t="str">
        <x:v>Вопрос 25 из 25</x:v>
      </x:c>
      <x:c r="B335" s="228"/>
      <x:c r="C335" s="228"/>
      <x:c r="D335" s="228"/>
      <x:c r="E335" s="228"/>
      <x:c r="F335" s="228"/>
      <x:c r="G335" s="228"/>
      <x:c r="H335" s="228"/>
    </x:row>
    <x:row r="336" ht="48" customHeight="1">
      <x:c r="A336" s="243" t="str">
        <x:v>Каковы ваши первоочередные действия при обнаружении интенсивного грифона или неконтролируемого газопроявления выше коренной задвижки?</x:v>
      </x:c>
      <x:c r="B336" s="244"/>
      <x:c r="C336" s="244"/>
      <x:c r="D336" s="244"/>
      <x:c r="E336" s="244"/>
      <x:c r="F336" s="244"/>
      <x:c r="G336" s="244"/>
      <x:c r="H336" s="245"/>
    </x:row>
    <x:row r="337" ht="48" customHeight="1">
      <x:c r="A337" s="246"/>
      <x:c r="B337" s="247"/>
      <x:c r="C337" s="247"/>
      <x:c r="D337" s="247"/>
      <x:c r="E337" s="247"/>
      <x:c r="F337" s="247"/>
      <x:c r="G337" s="247"/>
      <x:c r="H337" s="248"/>
    </x:row>
    <x:row r="338" ht="8" customHeight="1"/>
    <x:row r="339" ht="52" customHeight="1">
      <x:c r="A339" s="253" t="str">
        <x:v>A</x:v>
      </x:c>
      <x:c r="B339" s="99" t="str">
        <x:v>Сообщить об аварии на пульт, руководству цеха (промысла), принять меры по предотвращению возгорания фонтанирующей струи и взрыва газа в местах его скопления, для чего устранить возможные источники огня (заглушить ДВС, отключить силовые и осветительные линии электропитания и т.п.).</x:v>
      </x:c>
      <x:c r="C339" s="100"/>
      <x:c r="D339" s="100"/>
      <x:c r="E339" s="100"/>
      <x:c r="F339" s="100"/>
      <x:c r="G339" s="100"/>
      <x:c r="H339" s="101"/>
    </x:row>
    <x:row r="340" ht="24" customHeight="1">
      <x:c r="A340" s="253" t="str">
        <x:v>B</x:v>
      </x:c>
      <x:c r="B340" s="99" t="str">
        <x:v>Перекрыть движение в опасной зоне, установить предупреждающие знаки, обесточить оборудование, сообщить о случившемся в диспетчерскую.</x:v>
      </x:c>
      <x:c r="C340" s="100"/>
      <x:c r="D340" s="100"/>
      <x:c r="E340" s="100"/>
      <x:c r="F340" s="100"/>
      <x:c r="G340" s="100"/>
      <x:c r="H340" s="101"/>
    </x:row>
    <x:row r="341" ht="38" customHeight="1">
      <x:c r="A341" s="253" t="str">
        <x:v>C</x:v>
      </x:c>
      <x:c r="B341" s="99" t="str">
        <x:v>Сообщить о случившемся непосредственному руководителю, в военизированную часть ООО «Газпром газобезопасность» и ООО «Газпром газнадзор».</x:v>
      </x:c>
      <x:c r="C341" s="100"/>
      <x:c r="D341" s="100"/>
      <x:c r="E341" s="100"/>
      <x:c r="F341" s="100"/>
      <x:c r="G341" s="100"/>
      <x:c r="H341" s="101"/>
    </x:row>
    <x:row r="342" ht="8" customHeight="1"/>
    <x:row r="343" ht="28" customHeight="1">
      <x:c r="A343" s="258" t="str">
        <x:v>Ваш ответ:</x:v>
      </x:c>
      <x:c r="B343" s="259"/>
      <x:c r="C343" s="268"/>
      <x:c r="D343" s="269"/>
      <x:c r="E343" s="269"/>
      <x:c r="F343" s="269"/>
      <x:c r="G343" s="269"/>
      <x:c r="H343" s="270"/>
      <x:c r="Z343" t="n">
        <x:f>IF(C343="",0,IF(C343="A",1,0))</x:f>
        <x:v>0</x:v>
      </x:c>
      <x:c r="AA343" t="n">
        <x:f>IF(C343="",0,1)</x:f>
        <x:v>0</x:v>
      </x:c>
    </x:row>
    <x:row r="344" ht="8" customHeight="1"/>
    <x:row r="345" ht="30" customHeight="1">
      <x:c r="A345" s="343" t="str">
        <x:v>Комментарий:</x:v>
      </x:c>
      <x:c r="B345" s="344"/>
      <x:c r="C345" s="176" t="str">
        <x:f>IF(C343="","Выберите ответ.",IF(C343="A","Верно. Выбранное действие соответствует алгоритму, принятому в исходном тесте.",IF(C343="B","Неверно. Это действие не соответствует требуемому алгоритму. Правильный вариант: A.",IF(C343="C","Неверно. Это действие не соответствует требуемому алгоритму. Правильный вариант: A.","Неверно. Ответ не распознан. Правильный вариант: A."))))</x:f>
        <x:v>Выберите ответ.</x:v>
      </x:c>
      <x:c r="D345" s="177"/>
      <x:c r="E345" s="177"/>
      <x:c r="F345" s="177"/>
      <x:c r="G345" s="177"/>
      <x:c r="H345" s="178"/>
    </x:row>
    <x:row r="346" ht="30" customHeight="1">
      <x:c r="A346" s="345"/>
      <x:c r="B346" s="346"/>
      <x:c r="C346" s="179"/>
      <x:c r="D346" s="180"/>
      <x:c r="E346" s="180"/>
      <x:c r="F346" s="180"/>
      <x:c r="G346" s="180"/>
      <x:c r="H346" s="181"/>
    </x:row>
    <x:row r="348" ht="10" customHeight="1"/>
  </x:sheetData>
  <x:mergeCells>
    <x:mergeCell ref="A1:H1"/>
    <x:mergeCell ref="A2:H2"/>
    <x:mergeCell ref="A3:B3"/>
    <x:mergeCell ref="D3:E3"/>
    <x:mergeCell ref="A5:H5"/>
    <x:mergeCell ref="A6:H7"/>
    <x:mergeCell ref="B9:H9"/>
    <x:mergeCell ref="B10:H10"/>
    <x:mergeCell ref="B11:H11"/>
    <x:mergeCell ref="B12:H12"/>
    <x:mergeCell ref="A14:B14"/>
    <x:mergeCell ref="C14:H14"/>
    <x:mergeCell ref="A16:B17"/>
    <x:mergeCell ref="C16:H17"/>
    <x:mergeCell ref="A19:H19"/>
    <x:mergeCell ref="A20:H21"/>
    <x:mergeCell ref="B23:H23"/>
    <x:mergeCell ref="B24:H24"/>
    <x:mergeCell ref="A26:B26"/>
    <x:mergeCell ref="C26:H26"/>
    <x:mergeCell ref="A28:B29"/>
    <x:mergeCell ref="C28:H29"/>
    <x:mergeCell ref="A31:H31"/>
    <x:mergeCell ref="A32:H33"/>
    <x:mergeCell ref="B35:H35"/>
    <x:mergeCell ref="B36:H36"/>
    <x:mergeCell ref="B37:H37"/>
    <x:mergeCell ref="B38:H38"/>
    <x:mergeCell ref="A40:B40"/>
    <x:mergeCell ref="C40:H40"/>
    <x:mergeCell ref="A42:B43"/>
    <x:mergeCell ref="C42:H43"/>
    <x:mergeCell ref="A45:H45"/>
    <x:mergeCell ref="A46:H47"/>
    <x:mergeCell ref="B49:H49"/>
    <x:mergeCell ref="B50:H50"/>
    <x:mergeCell ref="B51:H51"/>
    <x:mergeCell ref="B52:H52"/>
    <x:mergeCell ref="A54:B54"/>
    <x:mergeCell ref="C54:H54"/>
    <x:mergeCell ref="A56:B57"/>
    <x:mergeCell ref="C56:H57"/>
    <x:mergeCell ref="A59:H59"/>
    <x:mergeCell ref="A60:H61"/>
    <x:mergeCell ref="B63:H63"/>
    <x:mergeCell ref="B64:H64"/>
    <x:mergeCell ref="B65:H65"/>
    <x:mergeCell ref="B66:H66"/>
    <x:mergeCell ref="A68:B68"/>
    <x:mergeCell ref="C68:H68"/>
    <x:mergeCell ref="A70:B71"/>
    <x:mergeCell ref="C70:H71"/>
    <x:mergeCell ref="A73:H73"/>
    <x:mergeCell ref="A74:H75"/>
    <x:mergeCell ref="B77:H77"/>
    <x:mergeCell ref="B78:H78"/>
    <x:mergeCell ref="B79:H79"/>
    <x:mergeCell ref="A81:B81"/>
    <x:mergeCell ref="C81:H81"/>
    <x:mergeCell ref="A83:B84"/>
    <x:mergeCell ref="C83:H84"/>
    <x:mergeCell ref="A86:H86"/>
    <x:mergeCell ref="A87:H88"/>
    <x:mergeCell ref="B90:H90"/>
    <x:mergeCell ref="B91:H91"/>
    <x:mergeCell ref="B92:H92"/>
    <x:mergeCell ref="B93:H93"/>
    <x:mergeCell ref="A95:B95"/>
    <x:mergeCell ref="C95:H95"/>
    <x:mergeCell ref="A97:B98"/>
    <x:mergeCell ref="C97:H98"/>
    <x:mergeCell ref="A100:H100"/>
    <x:mergeCell ref="A101:H102"/>
    <x:mergeCell ref="B104:H104"/>
    <x:mergeCell ref="B105:H105"/>
    <x:mergeCell ref="B106:H106"/>
    <x:mergeCell ref="A108:B108"/>
    <x:mergeCell ref="C108:H108"/>
    <x:mergeCell ref="A110:B111"/>
    <x:mergeCell ref="C110:H111"/>
    <x:mergeCell ref="A113:H113"/>
    <x:mergeCell ref="A114:H115"/>
    <x:mergeCell ref="B117:H117"/>
    <x:mergeCell ref="B118:H118"/>
    <x:mergeCell ref="B119:H119"/>
    <x:mergeCell ref="A121:B121"/>
    <x:mergeCell ref="C121:H121"/>
    <x:mergeCell ref="A123:B124"/>
    <x:mergeCell ref="C123:H124"/>
    <x:mergeCell ref="A126:H126"/>
    <x:mergeCell ref="A127:H128"/>
    <x:mergeCell ref="B130:H130"/>
    <x:mergeCell ref="B131:H131"/>
    <x:mergeCell ref="B132:H132"/>
    <x:mergeCell ref="A134:B134"/>
    <x:mergeCell ref="C134:H134"/>
    <x:mergeCell ref="A136:B137"/>
    <x:mergeCell ref="C136:H137"/>
    <x:mergeCell ref="A139:H139"/>
    <x:mergeCell ref="A140:H141"/>
    <x:mergeCell ref="B143:H143"/>
    <x:mergeCell ref="B144:H144"/>
    <x:mergeCell ref="B145:H145"/>
    <x:mergeCell ref="B146:H146"/>
    <x:mergeCell ref="A148:B148"/>
    <x:mergeCell ref="C148:H148"/>
    <x:mergeCell ref="A150:B151"/>
    <x:mergeCell ref="C150:H151"/>
    <x:mergeCell ref="A153:H153"/>
    <x:mergeCell ref="A154:H155"/>
    <x:mergeCell ref="B157:H157"/>
    <x:mergeCell ref="B158:H158"/>
    <x:mergeCell ref="B159:H159"/>
    <x:mergeCell ref="B160:H160"/>
    <x:mergeCell ref="A162:B162"/>
    <x:mergeCell ref="C162:H162"/>
    <x:mergeCell ref="A164:B165"/>
    <x:mergeCell ref="C164:H165"/>
    <x:mergeCell ref="A167:H167"/>
    <x:mergeCell ref="A168:H169"/>
    <x:mergeCell ref="B171:H171"/>
    <x:mergeCell ref="B172:H172"/>
    <x:mergeCell ref="B173:H173"/>
    <x:mergeCell ref="A175:B175"/>
    <x:mergeCell ref="C175:H175"/>
    <x:mergeCell ref="A177:B178"/>
    <x:mergeCell ref="C177:H178"/>
    <x:mergeCell ref="A180:H180"/>
    <x:mergeCell ref="A181:H182"/>
    <x:mergeCell ref="B184:H184"/>
    <x:mergeCell ref="B185:H185"/>
    <x:mergeCell ref="B186:H186"/>
    <x:mergeCell ref="A188:B188"/>
    <x:mergeCell ref="C188:H188"/>
    <x:mergeCell ref="A190:B191"/>
    <x:mergeCell ref="C190:H191"/>
    <x:mergeCell ref="A193:H193"/>
    <x:mergeCell ref="A194:H195"/>
    <x:mergeCell ref="B197:H197"/>
    <x:mergeCell ref="B198:H198"/>
    <x:mergeCell ref="B199:H199"/>
    <x:mergeCell ref="B200:H200"/>
    <x:mergeCell ref="A202:B202"/>
    <x:mergeCell ref="C202:H202"/>
    <x:mergeCell ref="A204:B205"/>
    <x:mergeCell ref="C204:H205"/>
    <x:mergeCell ref="A207:H207"/>
    <x:mergeCell ref="A208:H209"/>
    <x:mergeCell ref="B211:H211"/>
    <x:mergeCell ref="B212:H212"/>
    <x:mergeCell ref="B213:H213"/>
    <x:mergeCell ref="A215:B215"/>
    <x:mergeCell ref="C215:H215"/>
    <x:mergeCell ref="A217:B218"/>
    <x:mergeCell ref="C217:H218"/>
    <x:mergeCell ref="A220:H220"/>
    <x:mergeCell ref="A221:H222"/>
    <x:mergeCell ref="B224:H224"/>
    <x:mergeCell ref="B225:H225"/>
    <x:mergeCell ref="B226:H226"/>
    <x:mergeCell ref="A228:B228"/>
    <x:mergeCell ref="C228:H228"/>
    <x:mergeCell ref="A230:B231"/>
    <x:mergeCell ref="C230:H231"/>
    <x:mergeCell ref="A233:H233"/>
    <x:mergeCell ref="A234:H235"/>
    <x:mergeCell ref="B237:H237"/>
    <x:mergeCell ref="B238:H238"/>
    <x:mergeCell ref="B239:H239"/>
    <x:mergeCell ref="A241:B241"/>
    <x:mergeCell ref="C241:H241"/>
    <x:mergeCell ref="A243:B244"/>
    <x:mergeCell ref="C243:H244"/>
    <x:mergeCell ref="A246:H246"/>
    <x:mergeCell ref="A247:H248"/>
    <x:mergeCell ref="B250:H250"/>
    <x:mergeCell ref="B251:H251"/>
    <x:mergeCell ref="B252:H252"/>
    <x:mergeCell ref="B253:H253"/>
    <x:mergeCell ref="A255:B255"/>
    <x:mergeCell ref="C255:H255"/>
    <x:mergeCell ref="A257:B258"/>
    <x:mergeCell ref="C257:H258"/>
    <x:mergeCell ref="A260:H260"/>
    <x:mergeCell ref="A261:H262"/>
    <x:mergeCell ref="B264:H264"/>
    <x:mergeCell ref="B265:H265"/>
    <x:mergeCell ref="B266:H266"/>
    <x:mergeCell ref="B267:H267"/>
    <x:mergeCell ref="B268:H268"/>
    <x:mergeCell ref="A270:B270"/>
    <x:mergeCell ref="C270:H270"/>
    <x:mergeCell ref="A272:B273"/>
    <x:mergeCell ref="C272:H273"/>
    <x:mergeCell ref="A275:H275"/>
    <x:mergeCell ref="A276:H277"/>
    <x:mergeCell ref="B279:H279"/>
    <x:mergeCell ref="B280:H280"/>
    <x:mergeCell ref="B281:H281"/>
    <x:mergeCell ref="B282:H282"/>
    <x:mergeCell ref="B283:H283"/>
    <x:mergeCell ref="A285:B285"/>
    <x:mergeCell ref="C285:H285"/>
    <x:mergeCell ref="A287:B288"/>
    <x:mergeCell ref="C287:H288"/>
    <x:mergeCell ref="A290:H290"/>
    <x:mergeCell ref="A291:H292"/>
    <x:mergeCell ref="B294:H294"/>
    <x:mergeCell ref="B295:H295"/>
    <x:mergeCell ref="B296:H296"/>
    <x:mergeCell ref="B297:H297"/>
    <x:mergeCell ref="B298:H298"/>
    <x:mergeCell ref="A300:B300"/>
    <x:mergeCell ref="C300:H300"/>
    <x:mergeCell ref="A302:B303"/>
    <x:mergeCell ref="C302:H303"/>
    <x:mergeCell ref="A305:H305"/>
    <x:mergeCell ref="A306:H307"/>
    <x:mergeCell ref="B309:H309"/>
    <x:mergeCell ref="B310:H310"/>
    <x:mergeCell ref="B311:H311"/>
    <x:mergeCell ref="B312:H312"/>
    <x:mergeCell ref="B313:H313"/>
    <x:mergeCell ref="A315:B315"/>
    <x:mergeCell ref="C315:H315"/>
    <x:mergeCell ref="A317:B318"/>
    <x:mergeCell ref="C317:H318"/>
    <x:mergeCell ref="A320:H320"/>
    <x:mergeCell ref="A321:H322"/>
    <x:mergeCell ref="B324:H324"/>
    <x:mergeCell ref="B325:H325"/>
    <x:mergeCell ref="B326:H326"/>
    <x:mergeCell ref="B327:H327"/>
    <x:mergeCell ref="B328:H328"/>
    <x:mergeCell ref="A330:B330"/>
    <x:mergeCell ref="C330:H330"/>
    <x:mergeCell ref="A332:B333"/>
    <x:mergeCell ref="C332:H333"/>
    <x:mergeCell ref="A335:H335"/>
    <x:mergeCell ref="A336:H337"/>
    <x:mergeCell ref="B339:H339"/>
    <x:mergeCell ref="B340:H340"/>
    <x:mergeCell ref="B341:H341"/>
    <x:mergeCell ref="A343:B343"/>
    <x:mergeCell ref="C343:H343"/>
    <x:mergeCell ref="A345:B346"/>
    <x:mergeCell ref="C345:H346"/>
  </x:mergeCells>
  <x:conditionalFormatting sqref="C16:H17">
    <x:cfRule type="expression" dxfId="250" priority="1">
      <x:formula>LEFT($C$16,6)="Верно."</x:formula>
    </x:cfRule>
    <x:cfRule type="expression" dxfId="251" priority="2">
      <x:formula>LEFT($C$16,7)="Неверно"</x:formula>
    </x:cfRule>
  </x:conditionalFormatting>
  <x:conditionalFormatting sqref="C28:H29">
    <x:cfRule type="expression" dxfId="252" priority="3">
      <x:formula>LEFT($C$28,6)="Верно."</x:formula>
    </x:cfRule>
    <x:cfRule type="expression" dxfId="253" priority="4">
      <x:formula>LEFT($C$28,7)="Неверно"</x:formula>
    </x:cfRule>
  </x:conditionalFormatting>
  <x:conditionalFormatting sqref="C42:H43">
    <x:cfRule type="expression" dxfId="254" priority="5">
      <x:formula>LEFT($C$42,6)="Верно."</x:formula>
    </x:cfRule>
    <x:cfRule type="expression" dxfId="255" priority="6">
      <x:formula>LEFT($C$42,7)="Неверно"</x:formula>
    </x:cfRule>
  </x:conditionalFormatting>
  <x:conditionalFormatting sqref="C56:H57">
    <x:cfRule type="expression" dxfId="256" priority="7">
      <x:formula>LEFT($C$56,6)="Верно."</x:formula>
    </x:cfRule>
    <x:cfRule type="expression" dxfId="257" priority="8">
      <x:formula>LEFT($C$56,7)="Неверно"</x:formula>
    </x:cfRule>
  </x:conditionalFormatting>
  <x:conditionalFormatting sqref="C70:H71">
    <x:cfRule type="expression" dxfId="258" priority="9">
      <x:formula>LEFT($C$70,6)="Верно."</x:formula>
    </x:cfRule>
    <x:cfRule type="expression" dxfId="259" priority="10">
      <x:formula>LEFT($C$70,7)="Неверно"</x:formula>
    </x:cfRule>
  </x:conditionalFormatting>
  <x:conditionalFormatting sqref="C83:H84">
    <x:cfRule type="expression" dxfId="260" priority="11">
      <x:formula>LEFT($C$83,6)="Верно."</x:formula>
    </x:cfRule>
    <x:cfRule type="expression" dxfId="261" priority="12">
      <x:formula>LEFT($C$83,7)="Неверно"</x:formula>
    </x:cfRule>
  </x:conditionalFormatting>
  <x:conditionalFormatting sqref="C97:H98">
    <x:cfRule type="expression" dxfId="262" priority="13">
      <x:formula>LEFT($C$97,6)="Верно."</x:formula>
    </x:cfRule>
    <x:cfRule type="expression" dxfId="263" priority="14">
      <x:formula>LEFT($C$97,7)="Неверно"</x:formula>
    </x:cfRule>
  </x:conditionalFormatting>
  <x:conditionalFormatting sqref="C110:H111">
    <x:cfRule type="expression" dxfId="264" priority="15">
      <x:formula>LEFT($C$110,6)="Верно."</x:formula>
    </x:cfRule>
    <x:cfRule type="expression" dxfId="265" priority="16">
      <x:formula>LEFT($C$110,7)="Неверно"</x:formula>
    </x:cfRule>
  </x:conditionalFormatting>
  <x:conditionalFormatting sqref="C123:H124">
    <x:cfRule type="expression" dxfId="266" priority="17">
      <x:formula>LEFT($C$123,6)="Верно."</x:formula>
    </x:cfRule>
    <x:cfRule type="expression" dxfId="267" priority="18">
      <x:formula>LEFT($C$123,7)="Неверно"</x:formula>
    </x:cfRule>
  </x:conditionalFormatting>
  <x:conditionalFormatting sqref="C136:H137">
    <x:cfRule type="expression" dxfId="268" priority="19">
      <x:formula>LEFT($C$136,6)="Верно."</x:formula>
    </x:cfRule>
    <x:cfRule type="expression" dxfId="269" priority="20">
      <x:formula>LEFT($C$136,7)="Неверно"</x:formula>
    </x:cfRule>
  </x:conditionalFormatting>
  <x:conditionalFormatting sqref="C150:H151">
    <x:cfRule type="expression" dxfId="270" priority="21">
      <x:formula>LEFT($C$150,6)="Верно."</x:formula>
    </x:cfRule>
    <x:cfRule type="expression" dxfId="271" priority="22">
      <x:formula>LEFT($C$150,7)="Неверно"</x:formula>
    </x:cfRule>
  </x:conditionalFormatting>
  <x:conditionalFormatting sqref="C164:H165">
    <x:cfRule type="expression" dxfId="272" priority="23">
      <x:formula>LEFT($C$164,6)="Верно."</x:formula>
    </x:cfRule>
    <x:cfRule type="expression" dxfId="273" priority="24">
      <x:formula>LEFT($C$164,7)="Неверно"</x:formula>
    </x:cfRule>
  </x:conditionalFormatting>
  <x:conditionalFormatting sqref="C177:H178">
    <x:cfRule type="expression" dxfId="274" priority="25">
      <x:formula>LEFT($C$177,6)="Верно."</x:formula>
    </x:cfRule>
    <x:cfRule type="expression" dxfId="275" priority="26">
      <x:formula>LEFT($C$177,7)="Неверно"</x:formula>
    </x:cfRule>
  </x:conditionalFormatting>
  <x:conditionalFormatting sqref="C190:H191">
    <x:cfRule type="expression" dxfId="276" priority="27">
      <x:formula>LEFT($C$190,6)="Верно."</x:formula>
    </x:cfRule>
    <x:cfRule type="expression" dxfId="277" priority="28">
      <x:formula>LEFT($C$190,7)="Неверно"</x:formula>
    </x:cfRule>
  </x:conditionalFormatting>
  <x:conditionalFormatting sqref="C204:H205">
    <x:cfRule type="expression" dxfId="278" priority="29">
      <x:formula>LEFT($C$204,6)="Верно."</x:formula>
    </x:cfRule>
    <x:cfRule type="expression" dxfId="279" priority="30">
      <x:formula>LEFT($C$204,7)="Неверно"</x:formula>
    </x:cfRule>
  </x:conditionalFormatting>
  <x:conditionalFormatting sqref="C217:H218">
    <x:cfRule type="expression" dxfId="280" priority="31">
      <x:formula>LEFT($C$217,6)="Верно."</x:formula>
    </x:cfRule>
    <x:cfRule type="expression" dxfId="281" priority="32">
      <x:formula>LEFT($C$217,7)="Неверно"</x:formula>
    </x:cfRule>
  </x:conditionalFormatting>
  <x:conditionalFormatting sqref="C230:H231">
    <x:cfRule type="expression" dxfId="282" priority="33">
      <x:formula>LEFT($C$230,6)="Верно."</x:formula>
    </x:cfRule>
    <x:cfRule type="expression" dxfId="283" priority="34">
      <x:formula>LEFT($C$230,7)="Неверно"</x:formula>
    </x:cfRule>
  </x:conditionalFormatting>
  <x:conditionalFormatting sqref="C243:H244">
    <x:cfRule type="expression" dxfId="284" priority="35">
      <x:formula>LEFT($C$243,6)="Верно."</x:formula>
    </x:cfRule>
    <x:cfRule type="expression" dxfId="285" priority="36">
      <x:formula>LEFT($C$243,7)="Неверно"</x:formula>
    </x:cfRule>
  </x:conditionalFormatting>
  <x:conditionalFormatting sqref="C257:H258">
    <x:cfRule type="expression" dxfId="286" priority="37">
      <x:formula>LEFT($C$257,6)="Верно."</x:formula>
    </x:cfRule>
    <x:cfRule type="expression" dxfId="287" priority="38">
      <x:formula>LEFT($C$257,7)="Неверно"</x:formula>
    </x:cfRule>
  </x:conditionalFormatting>
  <x:conditionalFormatting sqref="C272:H273">
    <x:cfRule type="expression" dxfId="288" priority="39">
      <x:formula>LEFT($C$272,6)="Верно."</x:formula>
    </x:cfRule>
    <x:cfRule type="expression" dxfId="289" priority="40">
      <x:formula>LEFT($C$272,7)="Неверно"</x:formula>
    </x:cfRule>
  </x:conditionalFormatting>
  <x:conditionalFormatting sqref="C287:H288">
    <x:cfRule type="expression" dxfId="290" priority="41">
      <x:formula>LEFT($C$287,6)="Верно."</x:formula>
    </x:cfRule>
    <x:cfRule type="expression" dxfId="291" priority="42">
      <x:formula>LEFT($C$287,7)="Неверно"</x:formula>
    </x:cfRule>
  </x:conditionalFormatting>
  <x:conditionalFormatting sqref="C302:H303">
    <x:cfRule type="expression" dxfId="292" priority="43">
      <x:formula>LEFT($C$302,6)="Верно."</x:formula>
    </x:cfRule>
    <x:cfRule type="expression" dxfId="293" priority="44">
      <x:formula>LEFT($C$302,7)="Неверно"</x:formula>
    </x:cfRule>
  </x:conditionalFormatting>
  <x:conditionalFormatting sqref="C317:H318">
    <x:cfRule type="expression" dxfId="294" priority="45">
      <x:formula>LEFT($C$317,6)="Верно."</x:formula>
    </x:cfRule>
    <x:cfRule type="expression" dxfId="295" priority="46">
      <x:formula>LEFT($C$317,7)="Неверно"</x:formula>
    </x:cfRule>
  </x:conditionalFormatting>
  <x:conditionalFormatting sqref="C332:H333">
    <x:cfRule type="expression" dxfId="296" priority="47">
      <x:formula>LEFT($C$332,6)="Верно."</x:formula>
    </x:cfRule>
    <x:cfRule type="expression" dxfId="297" priority="48">
      <x:formula>LEFT($C$332,7)="Неверно"</x:formula>
    </x:cfRule>
  </x:conditionalFormatting>
  <x:conditionalFormatting sqref="C345:H346">
    <x:cfRule type="expression" dxfId="298" priority="49">
      <x:formula>LEFT($C$345,6)="Верно."</x:formula>
    </x:cfRule>
    <x:cfRule type="expression" dxfId="299" priority="50">
      <x:formula>LEFT($C$345,7)="Неверно"</x:formula>
    </x:cfRule>
  </x:conditionalFormatting>
  <x:dataValidations count="25">
    <x:dataValidation type="list" sqref="C14:H14">
      <x:formula1>"A,B,C,D"</x:formula1>
    </x:dataValidation>
    <x:dataValidation type="list" sqref="C26:H26">
      <x:formula1>"A,B"</x:formula1>
    </x:dataValidation>
    <x:dataValidation type="list" sqref="C40:H40">
      <x:formula1>"A,B,C,D"</x:formula1>
    </x:dataValidation>
    <x:dataValidation type="list" sqref="C54:H54">
      <x:formula1>"A,B,C,D"</x:formula1>
    </x:dataValidation>
    <x:dataValidation type="list" sqref="C68:H68">
      <x:formula1>"A,B,C,D"</x:formula1>
    </x:dataValidation>
    <x:dataValidation type="list" sqref="C81:H81">
      <x:formula1>"A,B,C"</x:formula1>
    </x:dataValidation>
    <x:dataValidation type="list" sqref="C95:H95">
      <x:formula1>"A,B,C,D"</x:formula1>
    </x:dataValidation>
    <x:dataValidation type="list" sqref="C108:H108">
      <x:formula1>"A,B,C"</x:formula1>
    </x:dataValidation>
    <x:dataValidation type="list" sqref="C121:H121">
      <x:formula1>"A,B,C"</x:formula1>
    </x:dataValidation>
    <x:dataValidation type="list" sqref="C134:H134">
      <x:formula1>"A,B,C"</x:formula1>
    </x:dataValidation>
    <x:dataValidation type="list" sqref="C148:H148">
      <x:formula1>"A,B,C,D"</x:formula1>
    </x:dataValidation>
    <x:dataValidation type="list" sqref="C162:H162">
      <x:formula1>"A,B,C,D"</x:formula1>
    </x:dataValidation>
    <x:dataValidation type="list" sqref="C175:H175">
      <x:formula1>"A,B,C"</x:formula1>
    </x:dataValidation>
    <x:dataValidation type="list" sqref="C188:H188">
      <x:formula1>"A,B,C"</x:formula1>
    </x:dataValidation>
    <x:dataValidation type="list" sqref="C202:H202">
      <x:formula1>"A,B,C,D"</x:formula1>
    </x:dataValidation>
    <x:dataValidation type="list" sqref="C215:H215">
      <x:formula1>"A,B,C"</x:formula1>
    </x:dataValidation>
    <x:dataValidation type="list" sqref="C228:H228">
      <x:formula1>"A,B,C"</x:formula1>
    </x:dataValidation>
    <x:dataValidation type="list" sqref="C241:H241">
      <x:formula1>"A,B,C"</x:formula1>
    </x:dataValidation>
    <x:dataValidation type="list" sqref="C255:H255">
      <x:formula1>"A,B,C,D"</x:formula1>
    </x:dataValidation>
    <x:dataValidation type="list" sqref="C270:H270">
      <x:formula1>"A,B,C,D,E"</x:formula1>
    </x:dataValidation>
    <x:dataValidation type="list" sqref="C285:H285">
      <x:formula1>"A,B,C,D,E"</x:formula1>
    </x:dataValidation>
    <x:dataValidation type="list" sqref="C300:H300">
      <x:formula1>"A,B,C,D,E"</x:formula1>
    </x:dataValidation>
    <x:dataValidation type="list" sqref="C315:H315">
      <x:formula1>"A,B,C,D,E"</x:formula1>
    </x:dataValidation>
    <x:dataValidation type="list" sqref="C330:H330">
      <x:formula1>"A,B,C,D,E"</x:formula1>
    </x:dataValidation>
    <x:dataValidation type="list" sqref="C343:H343">
      <x:formula1>"A,B,C"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26" max="26" width="2" hidden="0" customWidth="1"/>
    <x:col min="27" max="27" width="2" hidden="0" customWidth="1"/>
  </x:cols>
  <x:sheetData>
    <x:row r="1" ht="28" customHeight="1">
      <x:c r="A1" s="214" t="str">
        <x:v>Тест ГНВП — вопросы 101–120</x:v>
      </x:c>
      <x:c r="B1" s="214"/>
      <x:c r="C1" s="214"/>
      <x:c r="D1" s="214"/>
      <x:c r="E1" s="214"/>
      <x:c r="F1" s="214"/>
      <x:c r="G1" s="214"/>
      <x:c r="H1" s="214"/>
    </x:row>
    <x:row r="2" ht="28" customHeight="1">
      <x:c r="A2" s="219" t="str">
        <x:v>Выбирайте букву ответа. После выбора сразу появится комментарий.</x:v>
      </x:c>
      <x:c r="B2" s="219"/>
      <x:c r="C2" s="219"/>
      <x:c r="D2" s="219"/>
      <x:c r="E2" s="219"/>
      <x:c r="F2" s="219"/>
      <x:c r="G2" s="219"/>
      <x:c r="H2" s="219"/>
    </x:row>
    <x:row r="3">
      <x:c r="A3" s="223" t="str">
        <x:v>Отвечено</x:v>
      </x:c>
      <x:c r="B3" s="223"/>
      <x:c r="C3" s="224" t="n">
        <x:f>SUM(AA5:AA600)</x:f>
        <x:v>0</x:v>
      </x:c>
      <x:c r="D3" s="223" t="str">
        <x:v>Правильно</x:v>
      </x:c>
      <x:c r="E3" s="223"/>
      <x:c r="F3" s="224" t="n">
        <x:f>SUM(Z5:Z600)</x:f>
        <x:v>0</x:v>
      </x:c>
      <x:c r="G3" s="223" t="str">
        <x:v>Результат</x:v>
      </x:c>
      <x:c r="H3" s="225" t="n">
        <x:f>IF(F3=0,0,F3/20)</x:f>
        <x:v>0</x:v>
      </x:c>
    </x:row>
    <x:row r="4" ht="10" customHeight="1"/>
    <x:row r="5" ht="24" customHeight="1">
      <x:c r="A5" s="228" t="str">
        <x:v>Вопрос 1 из 20</x:v>
      </x:c>
      <x:c r="B5" s="228"/>
      <x:c r="C5" s="228"/>
      <x:c r="D5" s="228"/>
      <x:c r="E5" s="228"/>
      <x:c r="F5" s="228"/>
      <x:c r="G5" s="228"/>
      <x:c r="H5" s="228"/>
    </x:row>
    <x:row r="6" ht="34" customHeight="1">
      <x:c r="A6" s="243" t="str">
        <x:v>Укажите геологическую причину ГНВП:</x:v>
      </x:c>
      <x:c r="B6" s="244"/>
      <x:c r="C6" s="244"/>
      <x:c r="D6" s="244"/>
      <x:c r="E6" s="244"/>
      <x:c r="F6" s="244"/>
      <x:c r="G6" s="244"/>
      <x:c r="H6" s="245"/>
    </x:row>
    <x:row r="7" ht="34" customHeight="1">
      <x:c r="A7" s="246"/>
      <x:c r="B7" s="247"/>
      <x:c r="C7" s="247"/>
      <x:c r="D7" s="247"/>
      <x:c r="E7" s="247"/>
      <x:c r="F7" s="247"/>
      <x:c r="G7" s="247"/>
      <x:c r="H7" s="248"/>
    </x:row>
    <x:row r="8" ht="8" customHeight="1"/>
    <x:row r="9" ht="24" customHeight="1">
      <x:c r="A9" s="253" t="str">
        <x:v>A</x:v>
      </x:c>
      <x:c r="B9" s="99" t="str">
        <x:v>Несоответствие пластового давления глубине залегания залежи</x:v>
      </x:c>
      <x:c r="C9" s="100"/>
      <x:c r="D9" s="100"/>
      <x:c r="E9" s="100"/>
      <x:c r="F9" s="100"/>
      <x:c r="G9" s="100"/>
      <x:c r="H9" s="101"/>
    </x:row>
    <x:row r="10" ht="24" customHeight="1">
      <x:c r="A10" s="253" t="str">
        <x:v>B</x:v>
      </x:c>
      <x:c r="B10" s="99" t="str">
        <x:v>Несоответствие плотности бурового раствора проекту</x:v>
      </x:c>
      <x:c r="C10" s="100"/>
      <x:c r="D10" s="100"/>
      <x:c r="E10" s="100"/>
      <x:c r="F10" s="100"/>
      <x:c r="G10" s="100"/>
      <x:c r="H10" s="101"/>
    </x:row>
    <x:row r="11" ht="24" customHeight="1">
      <x:c r="A11" s="253" t="str">
        <x:v>C</x:v>
      </x:c>
      <x:c r="B11" s="99" t="str">
        <x:v>Разгазирование бурового раствора</x:v>
      </x:c>
      <x:c r="C11" s="100"/>
      <x:c r="D11" s="100"/>
      <x:c r="E11" s="100"/>
      <x:c r="F11" s="100"/>
      <x:c r="G11" s="100"/>
      <x:c r="H11" s="101"/>
    </x:row>
    <x:row r="12" ht="8" customHeight="1"/>
    <x:row r="13" ht="28" customHeight="1">
      <x:c r="A13" s="258" t="str">
        <x:v>Ваш ответ:</x:v>
      </x:c>
      <x:c r="B13" s="259"/>
      <x:c r="C13" s="268"/>
      <x:c r="D13" s="269"/>
      <x:c r="E13" s="269"/>
      <x:c r="F13" s="269"/>
      <x:c r="G13" s="269"/>
      <x:c r="H13" s="270"/>
      <x:c r="Z13" t="n">
        <x:f>IF(C13="",0,IF(C13="A",1,0))</x:f>
        <x:v>0</x:v>
      </x:c>
      <x:c r="AA13" t="n">
        <x:f>IF(C13="",0,1)</x:f>
        <x:v>0</x:v>
      </x:c>
    </x:row>
    <x:row r="14" ht="8" customHeight="1"/>
    <x:row r="15" ht="30" customHeight="1">
      <x:c r="A15" s="343" t="str">
        <x:v>Комментарий:</x:v>
      </x:c>
      <x:c r="B15" s="344"/>
      <x:c r="C15" s="176" t="str">
        <x:f>IF(C13="","Выберите ответ.",IF(C13="A","Верно. Эта причина соответствует описанному признаку или условию.",IF(C13="B","Неверно. Эта причина не соответствует описанному признаку или условию. Правильный вариант: A.",IF(C13="C","Неверно. Эта причина не соответствует описанному признаку или условию. Правильный вариант: A.","Неверно. Ответ не распознан. Правильный вариант: A."))))</x:f>
        <x:v>Выберите ответ.</x:v>
      </x:c>
      <x:c r="D15" s="177"/>
      <x:c r="E15" s="177"/>
      <x:c r="F15" s="177"/>
      <x:c r="G15" s="177"/>
      <x:c r="H15" s="178"/>
    </x:row>
    <x:row r="16" ht="30" customHeight="1">
      <x:c r="A16" s="345"/>
      <x:c r="B16" s="346"/>
      <x:c r="C16" s="179"/>
      <x:c r="D16" s="180"/>
      <x:c r="E16" s="180"/>
      <x:c r="F16" s="180"/>
      <x:c r="G16" s="180"/>
      <x:c r="H16" s="181"/>
    </x:row>
    <x:row r="18" ht="24" customHeight="1">
      <x:c r="A18" s="228" t="str">
        <x:v>Вопрос 2 из 20</x:v>
      </x:c>
      <x:c r="B18" s="228"/>
      <x:c r="C18" s="228"/>
      <x:c r="D18" s="228"/>
      <x:c r="E18" s="228"/>
      <x:c r="F18" s="228"/>
      <x:c r="G18" s="228"/>
      <x:c r="H18" s="228"/>
    </x:row>
    <x:row r="19" ht="34" customHeight="1">
      <x:c r="A19" s="243" t="str">
        <x:v>Для чего служит пакер в скважине?</x:v>
      </x:c>
      <x:c r="B19" s="244"/>
      <x:c r="C19" s="244"/>
      <x:c r="D19" s="244"/>
      <x:c r="E19" s="244"/>
      <x:c r="F19" s="244"/>
      <x:c r="G19" s="244"/>
      <x:c r="H19" s="245"/>
    </x:row>
    <x:row r="20" ht="34" customHeight="1">
      <x:c r="A20" s="246"/>
      <x:c r="B20" s="247"/>
      <x:c r="C20" s="247"/>
      <x:c r="D20" s="247"/>
      <x:c r="E20" s="247"/>
      <x:c r="F20" s="247"/>
      <x:c r="G20" s="247"/>
      <x:c r="H20" s="248"/>
    </x:row>
    <x:row r="21" ht="8" customHeight="1"/>
    <x:row r="22" ht="24" customHeight="1">
      <x:c r="A22" s="253" t="str">
        <x:v>A</x:v>
      </x:c>
      <x:c r="B22" s="99" t="str">
        <x:v>Для регулировки давления в скважине</x:v>
      </x:c>
      <x:c r="C22" s="100"/>
      <x:c r="D22" s="100"/>
      <x:c r="E22" s="100"/>
      <x:c r="F22" s="100"/>
      <x:c r="G22" s="100"/>
      <x:c r="H22" s="101"/>
    </x:row>
    <x:row r="23" ht="24" customHeight="1">
      <x:c r="A23" s="253" t="str">
        <x:v>B</x:v>
      </x:c>
      <x:c r="B23" s="99" t="str">
        <x:v>Для предупреждения открытого фонтана</x:v>
      </x:c>
      <x:c r="C23" s="100"/>
      <x:c r="D23" s="100"/>
      <x:c r="E23" s="100"/>
      <x:c r="F23" s="100"/>
      <x:c r="G23" s="100"/>
      <x:c r="H23" s="101"/>
    </x:row>
    <x:row r="24" ht="24" customHeight="1">
      <x:c r="A24" s="253" t="str">
        <x:v>C</x:v>
      </x:c>
      <x:c r="B24" s="99" t="str">
        <x:v>Для разобщения трубного и затрубного пространств</x:v>
      </x:c>
      <x:c r="C24" s="100"/>
      <x:c r="D24" s="100"/>
      <x:c r="E24" s="100"/>
      <x:c r="F24" s="100"/>
      <x:c r="G24" s="100"/>
      <x:c r="H24" s="101"/>
    </x:row>
    <x:row r="25" ht="24" customHeight="1">
      <x:c r="A25" s="253" t="str">
        <x:v>D</x:v>
      </x:c>
      <x:c r="B25" s="99" t="str">
        <x:v>Для возможности управлять скважиной</x:v>
      </x:c>
      <x:c r="C25" s="100"/>
      <x:c r="D25" s="100"/>
      <x:c r="E25" s="100"/>
      <x:c r="F25" s="100"/>
      <x:c r="G25" s="100"/>
      <x:c r="H25" s="101"/>
    </x:row>
    <x:row r="26" ht="8" customHeight="1"/>
    <x:row r="27" ht="28" customHeight="1">
      <x:c r="A27" s="258" t="str">
        <x:v>Ваш ответ:</x:v>
      </x:c>
      <x:c r="B27" s="259"/>
      <x:c r="C27" s="268"/>
      <x:c r="D27" s="269"/>
      <x:c r="E27" s="269"/>
      <x:c r="F27" s="269"/>
      <x:c r="G27" s="269"/>
      <x:c r="H27" s="270"/>
      <x:c r="Z27" t="n">
        <x:f>IF(C27="",0,IF(C27="C",1,0))</x:f>
        <x:v>0</x:v>
      </x:c>
      <x:c r="AA27" t="n">
        <x:f>IF(C27="",0,1)</x:f>
        <x:v>0</x:v>
      </x:c>
    </x:row>
    <x:row r="28" ht="8" customHeight="1"/>
    <x:row r="29" ht="30" customHeight="1">
      <x:c r="A29" s="343" t="str">
        <x:v>Комментарий:</x:v>
      </x:c>
      <x:c r="B29" s="344"/>
      <x:c r="C29" s="176" t="str">
        <x:f>IF(C27="","Выберите ответ.",IF(C27="A","Неверно. Это другая функция оборудования либо неполное его назначение. Правильный вариант: C.",IF(C27="B","Неверно. Это другая функция оборудования либо неполное его назначение. Правильный вариант: C.",IF(C27="C","Верно. Это назначение данного оборудования или элемента по исходному тесту.",IF(C27="D","Неверно. Это другая функция оборудования либо неполное его назначение. Правильный вариант: C.","Неверно. Ответ не распознан. Правильный вариант: C.")))))</x:f>
        <x:v>Выберите ответ.</x:v>
      </x:c>
      <x:c r="D29" s="177"/>
      <x:c r="E29" s="177"/>
      <x:c r="F29" s="177"/>
      <x:c r="G29" s="177"/>
      <x:c r="H29" s="178"/>
    </x:row>
    <x:row r="30" ht="30" customHeight="1">
      <x:c r="A30" s="345"/>
      <x:c r="B30" s="346"/>
      <x:c r="C30" s="179"/>
      <x:c r="D30" s="180"/>
      <x:c r="E30" s="180"/>
      <x:c r="F30" s="180"/>
      <x:c r="G30" s="180"/>
      <x:c r="H30" s="181"/>
    </x:row>
    <x:row r="32" ht="24" customHeight="1">
      <x:c r="A32" s="228" t="str">
        <x:v>Вопрос 3 из 20</x:v>
      </x:c>
      <x:c r="B32" s="228"/>
      <x:c r="C32" s="228"/>
      <x:c r="D32" s="228"/>
      <x:c r="E32" s="228"/>
      <x:c r="F32" s="228"/>
      <x:c r="G32" s="228"/>
      <x:c r="H32" s="228"/>
    </x:row>
    <x:row r="33" ht="34" customHeight="1">
      <x:c r="A33" s="243" t="str">
        <x:v>Для обвязки скольких обсадных колонн предназначена колонная головка ОКК-2?</x:v>
      </x:c>
      <x:c r="B33" s="244"/>
      <x:c r="C33" s="244"/>
      <x:c r="D33" s="244"/>
      <x:c r="E33" s="244"/>
      <x:c r="F33" s="244"/>
      <x:c r="G33" s="244"/>
      <x:c r="H33" s="245"/>
    </x:row>
    <x:row r="34" ht="34" customHeight="1">
      <x:c r="A34" s="246"/>
      <x:c r="B34" s="247"/>
      <x:c r="C34" s="247"/>
      <x:c r="D34" s="247"/>
      <x:c r="E34" s="247"/>
      <x:c r="F34" s="247"/>
      <x:c r="G34" s="247"/>
      <x:c r="H34" s="248"/>
    </x:row>
    <x:row r="35" ht="8" customHeight="1"/>
    <x:row r="36" ht="24" customHeight="1">
      <x:c r="A36" s="253" t="str">
        <x:v>A</x:v>
      </x:c>
      <x:c r="B36" s="99" t="str">
        <x:v>Кондуктор + эксплуатационная колонна</x:v>
      </x:c>
      <x:c r="C36" s="100"/>
      <x:c r="D36" s="100"/>
      <x:c r="E36" s="100"/>
      <x:c r="F36" s="100"/>
      <x:c r="G36" s="100"/>
      <x:c r="H36" s="101"/>
    </x:row>
    <x:row r="37" ht="24" customHeight="1">
      <x:c r="A37" s="253" t="str">
        <x:v>B</x:v>
      </x:c>
      <x:c r="B37" s="99" t="str">
        <x:v>Две промежуточные колонны + эксплуатационная колонна</x:v>
      </x:c>
      <x:c r="C37" s="100"/>
      <x:c r="D37" s="100"/>
      <x:c r="E37" s="100"/>
      <x:c r="F37" s="100"/>
      <x:c r="G37" s="100"/>
      <x:c r="H37" s="101"/>
    </x:row>
    <x:row r="38" ht="24" customHeight="1">
      <x:c r="A38" s="253" t="str">
        <x:v>C</x:v>
      </x:c>
      <x:c r="B38" s="99" t="str">
        <x:v>Кондуктор, промежуточная и эксплуатационная колонна</x:v>
      </x:c>
      <x:c r="C38" s="100"/>
      <x:c r="D38" s="100"/>
      <x:c r="E38" s="100"/>
      <x:c r="F38" s="100"/>
      <x:c r="G38" s="100"/>
      <x:c r="H38" s="101"/>
    </x:row>
    <x:row r="39" ht="24" customHeight="1">
      <x:c r="A39" s="253" t="str">
        <x:v>D</x:v>
      </x:c>
      <x:c r="B39" s="99" t="str">
        <x:v>Кондуктор, промежуточная, эксплуатационная и потайная колонна</x:v>
      </x:c>
      <x:c r="C39" s="100"/>
      <x:c r="D39" s="100"/>
      <x:c r="E39" s="100"/>
      <x:c r="F39" s="100"/>
      <x:c r="G39" s="100"/>
      <x:c r="H39" s="101"/>
    </x:row>
    <x:row r="40" ht="8" customHeight="1"/>
    <x:row r="41" ht="28" customHeight="1">
      <x:c r="A41" s="258" t="str">
        <x:v>Ваш ответ:</x:v>
      </x:c>
      <x:c r="B41" s="259"/>
      <x:c r="C41" s="268"/>
      <x:c r="D41" s="269"/>
      <x:c r="E41" s="269"/>
      <x:c r="F41" s="269"/>
      <x:c r="G41" s="269"/>
      <x:c r="H41" s="270"/>
      <x:c r="Z41" t="n">
        <x:f>IF(C41="",0,IF(C41="C",1,0))</x:f>
        <x:v>0</x:v>
      </x:c>
      <x:c r="AA41" t="n">
        <x:f>IF(C41="",0,1)</x:f>
        <x:v>0</x:v>
      </x:c>
    </x:row>
    <x:row r="42" ht="8" customHeight="1"/>
    <x:row r="43" ht="30" customHeight="1">
      <x:c r="A43" s="343" t="str">
        <x:v>Комментарий:</x:v>
      </x:c>
      <x:c r="B43" s="344"/>
      <x:c r="C43" s="176" t="str">
        <x:f>IF(C41="","Выберите ответ.",IF(C41="A","Неверно. Этот вариант не соответствует ключу исходного теста. Правильный вариант: C.",IF(C41="B","Неверно. Этот вариант не соответствует ключу исходного теста. Правильный вариант: C.",IF(C41="C","Верно. Этот вариант соответствует ключу исходного теста.",IF(C41="D","Неверно.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43" s="177"/>
      <x:c r="E43" s="177"/>
      <x:c r="F43" s="177"/>
      <x:c r="G43" s="177"/>
      <x:c r="H43" s="178"/>
    </x:row>
    <x:row r="44" ht="30" customHeight="1">
      <x:c r="A44" s="345"/>
      <x:c r="B44" s="346"/>
      <x:c r="C44" s="179"/>
      <x:c r="D44" s="180"/>
      <x:c r="E44" s="180"/>
      <x:c r="F44" s="180"/>
      <x:c r="G44" s="180"/>
      <x:c r="H44" s="181"/>
    </x:row>
    <x:row r="46" ht="24" customHeight="1">
      <x:c r="A46" s="228" t="str">
        <x:v>Вопрос 4 из 20</x:v>
      </x:c>
      <x:c r="B46" s="228"/>
      <x:c r="C46" s="228"/>
      <x:c r="D46" s="228"/>
      <x:c r="E46" s="228"/>
      <x:c r="F46" s="228"/>
      <x:c r="G46" s="228"/>
      <x:c r="H46" s="228"/>
    </x:row>
    <x:row r="47" ht="34" customHeight="1">
      <x:c r="A47" s="243" t="str">
        <x:v>На какое давление опрессовываются уплотнительные узлы колонной головки?</x:v>
      </x:c>
      <x:c r="B47" s="244"/>
      <x:c r="C47" s="244"/>
      <x:c r="D47" s="244"/>
      <x:c r="E47" s="244"/>
      <x:c r="F47" s="244"/>
      <x:c r="G47" s="244"/>
      <x:c r="H47" s="245"/>
    </x:row>
    <x:row r="48" ht="34" customHeight="1">
      <x:c r="A48" s="246"/>
      <x:c r="B48" s="247"/>
      <x:c r="C48" s="247"/>
      <x:c r="D48" s="247"/>
      <x:c r="E48" s="247"/>
      <x:c r="F48" s="247"/>
      <x:c r="G48" s="247"/>
      <x:c r="H48" s="248"/>
    </x:row>
    <x:row r="49" ht="8" customHeight="1"/>
    <x:row r="50" ht="24" customHeight="1">
      <x:c r="A50" s="253" t="str">
        <x:v>A</x:v>
      </x:c>
      <x:c r="B50" s="99" t="str">
        <x:v>На давление опрессовки герметизирующей колонны</x:v>
      </x:c>
      <x:c r="C50" s="100"/>
      <x:c r="D50" s="100"/>
      <x:c r="E50" s="100"/>
      <x:c r="F50" s="100"/>
      <x:c r="G50" s="100"/>
      <x:c r="H50" s="101"/>
    </x:row>
    <x:row r="51" ht="24" customHeight="1">
      <x:c r="A51" s="253" t="str">
        <x:v>B</x:v>
      </x:c>
      <x:c r="B51" s="99" t="str">
        <x:v>На давление опрессовки предыдущей колонны</x:v>
      </x:c>
      <x:c r="C51" s="100"/>
      <x:c r="D51" s="100"/>
      <x:c r="E51" s="100"/>
      <x:c r="F51" s="100"/>
      <x:c r="G51" s="100"/>
      <x:c r="H51" s="101"/>
    </x:row>
    <x:row r="52" ht="24" customHeight="1">
      <x:c r="A52" s="253" t="str">
        <x:v>C</x:v>
      </x:c>
      <x:c r="B52" s="99" t="str">
        <x:v>На величину рабочего давления для данной КГ</x:v>
      </x:c>
      <x:c r="C52" s="100"/>
      <x:c r="D52" s="100"/>
      <x:c r="E52" s="100"/>
      <x:c r="F52" s="100"/>
      <x:c r="G52" s="100"/>
      <x:c r="H52" s="101"/>
    </x:row>
    <x:row r="53" ht="24" customHeight="1">
      <x:c r="A53" s="253" t="str">
        <x:v>D</x:v>
      </x:c>
      <x:c r="B53" s="99" t="str">
        <x:v>На давление опрессовки последней спущенной обсадной колонны</x:v>
      </x:c>
      <x:c r="C53" s="100"/>
      <x:c r="D53" s="100"/>
      <x:c r="E53" s="100"/>
      <x:c r="F53" s="100"/>
      <x:c r="G53" s="100"/>
      <x:c r="H53" s="101"/>
    </x:row>
    <x:row r="54" ht="8" customHeight="1"/>
    <x:row r="55" ht="28" customHeight="1">
      <x:c r="A55" s="258" t="str">
        <x:v>Ваш ответ:</x:v>
      </x:c>
      <x:c r="B55" s="259"/>
      <x:c r="C55" s="268"/>
      <x:c r="D55" s="269"/>
      <x:c r="E55" s="269"/>
      <x:c r="F55" s="269"/>
      <x:c r="G55" s="269"/>
      <x:c r="H55" s="270"/>
      <x:c r="Z55" t="n">
        <x:f>IF(C55="",0,IF(C55="D",1,0))</x:f>
        <x:v>0</x:v>
      </x:c>
      <x:c r="AA55" t="n">
        <x:f>IF(C55="",0,1)</x:f>
        <x:v>0</x:v>
      </x:c>
    </x:row>
    <x:row r="56" ht="8" customHeight="1"/>
    <x:row r="57" ht="30" customHeight="1">
      <x:c r="A57" s="343" t="str">
        <x:v>Комментарий:</x:v>
      </x:c>
      <x:c r="B57" s="344"/>
      <x:c r="C57" s="176" t="str">
        <x:f>IF(C55="","Выберите ответ.",IF(C55="A","Неверно. Этот вариант не соответствует ключу исходного теста. Правильный вариант: D.",IF(C55="B","Неверно. Этот вариант не соответствует ключу исходного теста. Правильный вариант: D.",IF(C55="C","Неверно. Этот вариант не соответствует ключу исходного теста. Правильный вариант: D.",IF(C55="D","Верно. Этот вариант соответствует ключу исходного теста.","Неверно. Ответ не распознан. Правильный вариант: D.")))))</x:f>
        <x:v>Выберите ответ.</x:v>
      </x:c>
      <x:c r="D57" s="177"/>
      <x:c r="E57" s="177"/>
      <x:c r="F57" s="177"/>
      <x:c r="G57" s="177"/>
      <x:c r="H57" s="178"/>
    </x:row>
    <x:row r="58" ht="30" customHeight="1">
      <x:c r="A58" s="345"/>
      <x:c r="B58" s="346"/>
      <x:c r="C58" s="179"/>
      <x:c r="D58" s="180"/>
      <x:c r="E58" s="180"/>
      <x:c r="F58" s="180"/>
      <x:c r="G58" s="180"/>
      <x:c r="H58" s="181"/>
    </x:row>
    <x:row r="60" ht="24" customHeight="1">
      <x:c r="A60" s="228" t="str">
        <x:v>Вопрос 5 из 20</x:v>
      </x:c>
      <x:c r="B60" s="228"/>
      <x:c r="C60" s="228"/>
      <x:c r="D60" s="228"/>
      <x:c r="E60" s="228"/>
      <x:c r="F60" s="228"/>
      <x:c r="G60" s="228"/>
      <x:c r="H60" s="228"/>
    </x:row>
    <x:row r="61" ht="34" customHeight="1">
      <x:c r="A61" s="243" t="str">
        <x:v>Дайте правильную расшифровку колонной головке типа ОКК1-210-219x324?</x:v>
      </x:c>
      <x:c r="B61" s="244"/>
      <x:c r="C61" s="244"/>
      <x:c r="D61" s="244"/>
      <x:c r="E61" s="244"/>
      <x:c r="F61" s="244"/>
      <x:c r="G61" s="244"/>
      <x:c r="H61" s="245"/>
    </x:row>
    <x:row r="62" ht="34" customHeight="1">
      <x:c r="A62" s="246"/>
      <x:c r="B62" s="247"/>
      <x:c r="C62" s="247"/>
      <x:c r="D62" s="247"/>
      <x:c r="E62" s="247"/>
      <x:c r="F62" s="247"/>
      <x:c r="G62" s="247"/>
      <x:c r="H62" s="248"/>
    </x:row>
    <x:row r="63" ht="8" customHeight="1"/>
    <x:row r="64" ht="78" customHeight="1">
      <x:c r="A64" s="253" t="str">
        <x:v>A</x:v>
      </x:c>
      <x:c r="B64" s="99" t="str">
        <x:v>О - обвязка,
К - колонная,
К - клиновая,
1 - на клинья подвешена одна колонна,
210 - рабочее давление,
219 - диаметр эксплуатационной колонны,
324 - диаметр кондуктора</x:v>
      </x:c>
      <x:c r="C64" s="100"/>
      <x:c r="D64" s="100"/>
      <x:c r="E64" s="100"/>
      <x:c r="F64" s="100"/>
      <x:c r="G64" s="100"/>
      <x:c r="H64" s="101"/>
    </x:row>
    <x:row r="65" ht="78" customHeight="1">
      <x:c r="A65" s="253" t="str">
        <x:v>B</x:v>
      </x:c>
      <x:c r="B65" s="99" t="str">
        <x:v>О - обвязка,
К - колонная,
К - клиновая,
1 - на клинья подвешена одна колонна,
210 - рабочее давление,
219 - диаметр эксплуатационной колонны,
324 - диаметр направления</x:v>
      </x:c>
      <x:c r="C65" s="100"/>
      <x:c r="D65" s="100"/>
      <x:c r="E65" s="100"/>
      <x:c r="F65" s="100"/>
      <x:c r="G65" s="100"/>
      <x:c r="H65" s="101"/>
    </x:row>
    <x:row r="66" ht="78" customHeight="1">
      <x:c r="A66" s="253" t="str">
        <x:v>C</x:v>
      </x:c>
      <x:c r="B66" s="99" t="str">
        <x:v>О - обвязка,
К - колонная,
К - клиновая,
1 - на клинья подвешена одна колонна,
210 - рабочее давление,
219 - диаметр промежуточной колонны,
324 - диаметр кондуктора</x:v>
      </x:c>
      <x:c r="C66" s="100"/>
      <x:c r="D66" s="100"/>
      <x:c r="E66" s="100"/>
      <x:c r="F66" s="100"/>
      <x:c r="G66" s="100"/>
      <x:c r="H66" s="101"/>
    </x:row>
    <x:row r="67" ht="8" customHeight="1"/>
    <x:row r="68" ht="28" customHeight="1">
      <x:c r="A68" s="258" t="str">
        <x:v>Ваш ответ:</x:v>
      </x:c>
      <x:c r="B68" s="259"/>
      <x:c r="C68" s="268"/>
      <x:c r="D68" s="269"/>
      <x:c r="E68" s="269"/>
      <x:c r="F68" s="269"/>
      <x:c r="G68" s="269"/>
      <x:c r="H68" s="270"/>
      <x:c r="Z68" t="n">
        <x:f>IF(C68="",0,IF(C68="A",1,0))</x:f>
        <x:v>0</x:v>
      </x:c>
      <x:c r="AA68" t="n">
        <x:f>IF(C68="",0,1)</x:f>
        <x:v>0</x:v>
      </x:c>
    </x:row>
    <x:row r="69" ht="8" customHeight="1"/>
    <x:row r="70" ht="30" customHeight="1">
      <x:c r="A70" s="343" t="str">
        <x:v>Комментарий:</x:v>
      </x:c>
      <x:c r="B70" s="344"/>
      <x:c r="C70" s="176" t="str">
        <x:f>IF(C68="","Выберите ответ.",IF(C68="A","Верно. Этот вариант соответствует ключу исходного теста.",IF(C68="B","Неверно. Этот вариант не соответствует ключу исходного теста. Правильный вариант: A.",IF(C68="C","Неверно. Этот вариант не соответствует ключу исходного теста. Правильный вариант: A.","Неверно. Ответ не распознан. Правильный вариант: A."))))</x:f>
        <x:v>Выберите ответ.</x:v>
      </x:c>
      <x:c r="D70" s="177"/>
      <x:c r="E70" s="177"/>
      <x:c r="F70" s="177"/>
      <x:c r="G70" s="177"/>
      <x:c r="H70" s="178"/>
    </x:row>
    <x:row r="71" ht="30" customHeight="1">
      <x:c r="A71" s="345"/>
      <x:c r="B71" s="346"/>
      <x:c r="C71" s="179"/>
      <x:c r="D71" s="180"/>
      <x:c r="E71" s="180"/>
      <x:c r="F71" s="180"/>
      <x:c r="G71" s="180"/>
      <x:c r="H71" s="181"/>
    </x:row>
    <x:row r="73" ht="24" customHeight="1">
      <x:c r="A73" s="228" t="str">
        <x:v>Вопрос 6 из 20</x:v>
      </x:c>
      <x:c r="B73" s="228"/>
      <x:c r="C73" s="228"/>
      <x:c r="D73" s="228"/>
      <x:c r="E73" s="228"/>
      <x:c r="F73" s="228"/>
      <x:c r="G73" s="228"/>
      <x:c r="H73" s="228"/>
    </x:row>
    <x:row r="74" ht="34" customHeight="1">
      <x:c r="A74" s="243" t="str">
        <x:v>Укажите назначение разрядной пробки в задвижках</x:v>
      </x:c>
      <x:c r="B74" s="244"/>
      <x:c r="C74" s="244"/>
      <x:c r="D74" s="244"/>
      <x:c r="E74" s="244"/>
      <x:c r="F74" s="244"/>
      <x:c r="G74" s="244"/>
      <x:c r="H74" s="245"/>
    </x:row>
    <x:row r="75" ht="34" customHeight="1">
      <x:c r="A75" s="246"/>
      <x:c r="B75" s="247"/>
      <x:c r="C75" s="247"/>
      <x:c r="D75" s="247"/>
      <x:c r="E75" s="247"/>
      <x:c r="F75" s="247"/>
      <x:c r="G75" s="247"/>
      <x:c r="H75" s="248"/>
    </x:row>
    <x:row r="76" ht="8" customHeight="1"/>
    <x:row r="77" ht="38" customHeight="1">
      <x:c r="A77" s="253" t="str">
        <x:v>A</x:v>
      </x:c>
      <x:c r="B77" s="99" t="str">
        <x:v>Для снижения давления в различных полостях задвижек, для контроля за набивкой смазкой полостей задвижки, контроля за давлением, а также набивки пасты в сальниковые узлы оборудования</x:v>
      </x:c>
      <x:c r="C77" s="100"/>
      <x:c r="D77" s="100"/>
      <x:c r="E77" s="100"/>
      <x:c r="F77" s="100"/>
      <x:c r="G77" s="100"/>
      <x:c r="H77" s="101"/>
    </x:row>
    <x:row r="78" ht="24" customHeight="1">
      <x:c r="A78" s="253" t="str">
        <x:v>B</x:v>
      </x:c>
      <x:c r="B78" s="99" t="str">
        <x:v>Для снижения давления в различных полостях задвижек, для контроля за набивкой смазкой полостей задвижки, контроля за давлением</x:v>
      </x:c>
      <x:c r="C78" s="100"/>
      <x:c r="D78" s="100"/>
      <x:c r="E78" s="100"/>
      <x:c r="F78" s="100"/>
      <x:c r="G78" s="100"/>
      <x:c r="H78" s="101"/>
    </x:row>
    <x:row r="79" ht="38" customHeight="1">
      <x:c r="A79" s="253" t="str">
        <x:v>C</x:v>
      </x:c>
      <x:c r="B79" s="99" t="str">
        <x:v>Для снижения давления в различных полостях задвижек, для контроля за набивкой смазкой полостей задвижки, а также набивки пасты в сальниковые узлы оборудования</x:v>
      </x:c>
      <x:c r="C79" s="100"/>
      <x:c r="D79" s="100"/>
      <x:c r="E79" s="100"/>
      <x:c r="F79" s="100"/>
      <x:c r="G79" s="100"/>
      <x:c r="H79" s="101"/>
    </x:row>
    <x:row r="80" ht="24" customHeight="1">
      <x:c r="A80" s="253" t="str">
        <x:v>D</x:v>
      </x:c>
      <x:c r="B80" s="99" t="str">
        <x:v>Для снижения давления в различных полостях задвижек, контроля за давлением, а также набивки пасты в сальниковые узлы оборудования</x:v>
      </x:c>
      <x:c r="C80" s="100"/>
      <x:c r="D80" s="100"/>
      <x:c r="E80" s="100"/>
      <x:c r="F80" s="100"/>
      <x:c r="G80" s="100"/>
      <x:c r="H80" s="101"/>
    </x:row>
    <x:row r="81" ht="8" customHeight="1"/>
    <x:row r="82" ht="28" customHeight="1">
      <x:c r="A82" s="258" t="str">
        <x:v>Ваш ответ:</x:v>
      </x:c>
      <x:c r="B82" s="259"/>
      <x:c r="C82" s="268"/>
      <x:c r="D82" s="269"/>
      <x:c r="E82" s="269"/>
      <x:c r="F82" s="269"/>
      <x:c r="G82" s="269"/>
      <x:c r="H82" s="270"/>
      <x:c r="Z82" t="n">
        <x:f>IF(C82="",0,IF(C82="C",1,0))</x:f>
        <x:v>0</x:v>
      </x:c>
      <x:c r="AA82" t="n">
        <x:f>IF(C82="",0,1)</x:f>
        <x:v>0</x:v>
      </x:c>
    </x:row>
    <x:row r="83" ht="8" customHeight="1"/>
    <x:row r="84" ht="30" customHeight="1">
      <x:c r="A84" s="343" t="str">
        <x:v>Комментарий:</x:v>
      </x:c>
      <x:c r="B84" s="344"/>
      <x:c r="C84" s="176" t="str">
        <x:f>IF(C82="","Выберите ответ.",IF(C82="A","Неверно. Это другая функция оборудования либо неполное его назначение. Правильный вариант: C.",IF(C82="B","Неверно. Это другая функция оборудования либо неполное его назначение. Правильный вариант: C.",IF(C82="C","Верно. Это назначение данного оборудования или элемента по исходному тесту.",IF(C82="D","Неверно. Это другая функция оборудования либо неполное его назначение. Правильный вариант: C.","Неверно. Ответ не распознан. Правильный вариант: C.")))))</x:f>
        <x:v>Выберите ответ.</x:v>
      </x:c>
      <x:c r="D84" s="177"/>
      <x:c r="E84" s="177"/>
      <x:c r="F84" s="177"/>
      <x:c r="G84" s="177"/>
      <x:c r="H84" s="178"/>
    </x:row>
    <x:row r="85" ht="30" customHeight="1">
      <x:c r="A85" s="345"/>
      <x:c r="B85" s="346"/>
      <x:c r="C85" s="179"/>
      <x:c r="D85" s="180"/>
      <x:c r="E85" s="180"/>
      <x:c r="F85" s="180"/>
      <x:c r="G85" s="180"/>
      <x:c r="H85" s="181"/>
    </x:row>
    <x:row r="87" ht="24" customHeight="1">
      <x:c r="A87" s="228" t="str">
        <x:v>Вопрос 7 из 20</x:v>
      </x:c>
      <x:c r="B87" s="228"/>
      <x:c r="C87" s="228"/>
      <x:c r="D87" s="228"/>
      <x:c r="E87" s="228"/>
      <x:c r="F87" s="228"/>
      <x:c r="G87" s="228"/>
      <x:c r="H87" s="228"/>
    </x:row>
    <x:row r="88" ht="34" customHeight="1">
      <x:c r="A88" s="243" t="str">
        <x:v>Основные требования при работах по нагнетанию в скважину горючих нефтепродуктов:</x:v>
      </x:c>
      <x:c r="B88" s="244"/>
      <x:c r="C88" s="244"/>
      <x:c r="D88" s="244"/>
      <x:c r="E88" s="244"/>
      <x:c r="F88" s="244"/>
      <x:c r="G88" s="244"/>
      <x:c r="H88" s="245"/>
    </x:row>
    <x:row r="89" ht="34" customHeight="1">
      <x:c r="A89" s="246"/>
      <x:c r="B89" s="247"/>
      <x:c r="C89" s="247"/>
      <x:c r="D89" s="247"/>
      <x:c r="E89" s="247"/>
      <x:c r="F89" s="247"/>
      <x:c r="G89" s="247"/>
      <x:c r="H89" s="248"/>
    </x:row>
    <x:row r="90" ht="8" customHeight="1"/>
    <x:row r="91" ht="38" customHeight="1">
      <x:c r="A91" s="253" t="str">
        <x:v>A</x:v>
      </x:c>
      <x:c r="B91" s="99" t="str">
        <x:v>ППУ – не ближе 25м от емкости, электрооборудование исполнено во взрывоопасном исполнении, емкость располагается не менее чем в 10 метрах от устья скважины с наветренной стороны!</x:v>
      </x:c>
      <x:c r="C91" s="100"/>
      <x:c r="D91" s="100"/>
      <x:c r="E91" s="100"/>
      <x:c r="F91" s="100"/>
      <x:c r="G91" s="100"/>
      <x:c r="H91" s="101"/>
    </x:row>
    <x:row r="92" ht="38" customHeight="1">
      <x:c r="A92" s="253" t="str">
        <x:v>B</x:v>
      </x:c>
      <x:c r="B92" s="99" t="str">
        <x:v>ППУ – не ближе 20м от емкости, электрооборудование исполнено во взрывоопасном исполнении, емкость располагается не менее чем в 10 метрах от устья скважины с наветренной стороны</x:v>
      </x:c>
      <x:c r="C92" s="100"/>
      <x:c r="D92" s="100"/>
      <x:c r="E92" s="100"/>
      <x:c r="F92" s="100"/>
      <x:c r="G92" s="100"/>
      <x:c r="H92" s="101"/>
    </x:row>
    <x:row r="93" ht="8" customHeight="1"/>
    <x:row r="94" ht="28" customHeight="1">
      <x:c r="A94" s="258" t="str">
        <x:v>Ваш ответ:</x:v>
      </x:c>
      <x:c r="B94" s="259"/>
      <x:c r="C94" s="268"/>
      <x:c r="D94" s="269"/>
      <x:c r="E94" s="269"/>
      <x:c r="F94" s="269"/>
      <x:c r="G94" s="269"/>
      <x:c r="H94" s="270"/>
      <x:c r="Z94" t="n">
        <x:f>IF(C94="",0,IF(C94="A",1,0))</x:f>
        <x:v>0</x:v>
      </x:c>
      <x:c r="AA94" t="n">
        <x:f>IF(C94="",0,1)</x:f>
        <x:v>0</x:v>
      </x:c>
    </x:row>
    <x:row r="95" ht="8" customHeight="1"/>
    <x:row r="96" ht="30" customHeight="1">
      <x:c r="A96" s="343" t="str">
        <x:v>Комментарий:</x:v>
      </x:c>
      <x:c r="B96" s="344"/>
      <x:c r="C96" s="176" t="str">
        <x:f>IF(C94="","Выберите ответ.",IF(C94="A","Верно. Этот набор требований соответствует ключу исходного теста.",IF(C94="B","Неверно. Набор требований неполный либо содержит лишнее условие. Правильный вариант: A.","Неверно. Ответ не распознан. Правильный вариант: A.")))</x:f>
        <x:v>Выберите ответ.</x:v>
      </x:c>
      <x:c r="D96" s="177"/>
      <x:c r="E96" s="177"/>
      <x:c r="F96" s="177"/>
      <x:c r="G96" s="177"/>
      <x:c r="H96" s="178"/>
    </x:row>
    <x:row r="97" ht="30" customHeight="1">
      <x:c r="A97" s="345"/>
      <x:c r="B97" s="346"/>
      <x:c r="C97" s="179"/>
      <x:c r="D97" s="180"/>
      <x:c r="E97" s="180"/>
      <x:c r="F97" s="180"/>
      <x:c r="G97" s="180"/>
      <x:c r="H97" s="181"/>
    </x:row>
    <x:row r="99" ht="24" customHeight="1">
      <x:c r="A99" s="228" t="str">
        <x:v>Вопрос 8 из 20</x:v>
      </x:c>
      <x:c r="B99" s="228"/>
      <x:c r="C99" s="228"/>
      <x:c r="D99" s="228"/>
      <x:c r="E99" s="228"/>
      <x:c r="F99" s="228"/>
      <x:c r="G99" s="228"/>
      <x:c r="H99" s="228"/>
    </x:row>
    <x:row r="100" ht="34" customHeight="1">
      <x:c r="A100" s="243" t="str">
        <x:v>Какая из этих причин ГНВП организационная?</x:v>
      </x:c>
      <x:c r="B100" s="244"/>
      <x:c r="C100" s="244"/>
      <x:c r="D100" s="244"/>
      <x:c r="E100" s="244"/>
      <x:c r="F100" s="244"/>
      <x:c r="G100" s="244"/>
      <x:c r="H100" s="245"/>
    </x:row>
    <x:row r="101" ht="34" customHeight="1">
      <x:c r="A101" s="246"/>
      <x:c r="B101" s="247"/>
      <x:c r="C101" s="247"/>
      <x:c r="D101" s="247"/>
      <x:c r="E101" s="247"/>
      <x:c r="F101" s="247"/>
      <x:c r="G101" s="247"/>
      <x:c r="H101" s="248"/>
    </x:row>
    <x:row r="102" ht="8" customHeight="1"/>
    <x:row r="103" ht="24" customHeight="1">
      <x:c r="A103" s="253" t="str">
        <x:v>A</x:v>
      </x:c>
      <x:c r="B103" s="99" t="str">
        <x:v>Несоблюдение графика обследования скважин в связи со сложными климатическими условиями</x:v>
      </x:c>
      <x:c r="C103" s="100"/>
      <x:c r="D103" s="100"/>
      <x:c r="E103" s="100"/>
      <x:c r="F103" s="100"/>
      <x:c r="G103" s="100"/>
      <x:c r="H103" s="101"/>
    </x:row>
    <x:row r="104" ht="24" customHeight="1">
      <x:c r="A104" s="253" t="str">
        <x:v>B</x:v>
      </x:c>
      <x:c r="B104" s="99" t="str">
        <x:v>Несоблюдение графика обследования скважин</x:v>
      </x:c>
      <x:c r="C104" s="100"/>
      <x:c r="D104" s="100"/>
      <x:c r="E104" s="100"/>
      <x:c r="F104" s="100"/>
      <x:c r="G104" s="100"/>
      <x:c r="H104" s="101"/>
    </x:row>
    <x:row r="105" ht="8" customHeight="1"/>
    <x:row r="106" ht="28" customHeight="1">
      <x:c r="A106" s="258" t="str">
        <x:v>Ваш ответ:</x:v>
      </x:c>
      <x:c r="B106" s="259"/>
      <x:c r="C106" s="268"/>
      <x:c r="D106" s="269"/>
      <x:c r="E106" s="269"/>
      <x:c r="F106" s="269"/>
      <x:c r="G106" s="269"/>
      <x:c r="H106" s="270"/>
      <x:c r="Z106" t="n">
        <x:f>IF(C106="",0,IF(C106="B",1,0))</x:f>
        <x:v>0</x:v>
      </x:c>
      <x:c r="AA106" t="n">
        <x:f>IF(C106="",0,1)</x:f>
        <x:v>0</x:v>
      </x:c>
    </x:row>
    <x:row r="107" ht="8" customHeight="1"/>
    <x:row r="108" ht="30" customHeight="1">
      <x:c r="A108" s="343" t="str">
        <x:v>Комментарий:</x:v>
      </x:c>
      <x:c r="B108" s="344"/>
      <x:c r="C108" s="176" t="str">
        <x:f>IF(C106="","Выберите ответ.",IF(C106="A","Неверно. Вариант содержит лишнее условие, которого нет в правильной формулировке. Правильный вариант: B.",IF(C106="B","Верно. Эта причина соответствует описанному признаку или условию.","Неверно. Ответ не распознан. Правильный вариант: B.")))</x:f>
        <x:v>Выберите ответ.</x:v>
      </x:c>
      <x:c r="D108" s="177"/>
      <x:c r="E108" s="177"/>
      <x:c r="F108" s="177"/>
      <x:c r="G108" s="177"/>
      <x:c r="H108" s="178"/>
    </x:row>
    <x:row r="109" ht="30" customHeight="1">
      <x:c r="A109" s="345"/>
      <x:c r="B109" s="346"/>
      <x:c r="C109" s="179"/>
      <x:c r="D109" s="180"/>
      <x:c r="E109" s="180"/>
      <x:c r="F109" s="180"/>
      <x:c r="G109" s="180"/>
      <x:c r="H109" s="181"/>
    </x:row>
    <x:row r="111" ht="24" customHeight="1">
      <x:c r="A111" s="228" t="str">
        <x:v>Вопрос 9 из 20</x:v>
      </x:c>
      <x:c r="B111" s="228"/>
      <x:c r="C111" s="228"/>
      <x:c r="D111" s="228"/>
      <x:c r="E111" s="228"/>
      <x:c r="F111" s="228"/>
      <x:c r="G111" s="228"/>
      <x:c r="H111" s="228"/>
    </x:row>
    <x:row r="112" ht="34" customHeight="1">
      <x:c r="A112" s="243" t="str">
        <x:v>При оказании ПДМП следует руководствоваться следующими принципами:</x:v>
      </x:c>
      <x:c r="B112" s="244"/>
      <x:c r="C112" s="244"/>
      <x:c r="D112" s="244"/>
      <x:c r="E112" s="244"/>
      <x:c r="F112" s="244"/>
      <x:c r="G112" s="244"/>
      <x:c r="H112" s="245"/>
    </x:row>
    <x:row r="113" ht="34" customHeight="1">
      <x:c r="A113" s="246"/>
      <x:c r="B113" s="247"/>
      <x:c r="C113" s="247"/>
      <x:c r="D113" s="247"/>
      <x:c r="E113" s="247"/>
      <x:c r="F113" s="247"/>
      <x:c r="G113" s="247"/>
      <x:c r="H113" s="248"/>
    </x:row>
    <x:row r="114" ht="8" customHeight="1"/>
    <x:row r="115" ht="24" customHeight="1">
      <x:c r="A115" s="253" t="str">
        <x:v>A</x:v>
      </x:c>
      <x:c r="B115" s="99" t="str">
        <x:v>Правильностью и целесообразностью, знание основ работы в экстремальных условиях;</x:v>
      </x:c>
      <x:c r="C115" s="100"/>
      <x:c r="D115" s="100"/>
      <x:c r="E115" s="100"/>
      <x:c r="F115" s="100"/>
      <x:c r="G115" s="100"/>
      <x:c r="H115" s="101"/>
    </x:row>
    <x:row r="116" ht="24" customHeight="1">
      <x:c r="A116" s="253" t="str">
        <x:v>B</x:v>
      </x:c>
      <x:c r="B116" s="99" t="str">
        <x:v>Обдуманностью и решительностью, эмоциональная устойчивость, своевременное оказание самопомощи;</x:v>
      </x:c>
      <x:c r="C116" s="100"/>
      <x:c r="D116" s="100"/>
      <x:c r="E116" s="100"/>
      <x:c r="F116" s="100"/>
      <x:c r="G116" s="100"/>
      <x:c r="H116" s="101"/>
    </x:row>
    <x:row r="117" ht="24" customHeight="1">
      <x:c r="A117" s="253" t="str">
        <x:v>C</x:v>
      </x:c>
      <x:c r="B117" s="99" t="str">
        <x:v>Правильностью и целесообразностью, обдуманностью и решительностью, качественное оказание помощи;</x:v>
      </x:c>
      <x:c r="C117" s="100"/>
      <x:c r="D117" s="100"/>
      <x:c r="E117" s="100"/>
      <x:c r="F117" s="100"/>
      <x:c r="G117" s="100"/>
      <x:c r="H117" s="101"/>
    </x:row>
    <x:row r="118" ht="24" customHeight="1">
      <x:c r="A118" s="253" t="str">
        <x:v>D</x:v>
      </x:c>
      <x:c r="B118" s="99" t="str">
        <x:v>Смелость и решительность, предвидение возникающих осложнений, своевременность госпитализации пострадавшего</x:v>
      </x:c>
      <x:c r="C118" s="100"/>
      <x:c r="D118" s="100"/>
      <x:c r="E118" s="100"/>
      <x:c r="F118" s="100"/>
      <x:c r="G118" s="100"/>
      <x:c r="H118" s="101"/>
    </x:row>
    <x:row r="119" ht="8" customHeight="1"/>
    <x:row r="120" ht="28" customHeight="1">
      <x:c r="A120" s="258" t="str">
        <x:v>Ваш ответ:</x:v>
      </x:c>
      <x:c r="B120" s="259"/>
      <x:c r="C120" s="268"/>
      <x:c r="D120" s="269"/>
      <x:c r="E120" s="269"/>
      <x:c r="F120" s="269"/>
      <x:c r="G120" s="269"/>
      <x:c r="H120" s="270"/>
      <x:c r="Z120" t="n">
        <x:f>IF(C120="",0,IF(C120="C",1,0))</x:f>
        <x:v>0</x:v>
      </x:c>
      <x:c r="AA120" t="n">
        <x:f>IF(C120="",0,1)</x:f>
        <x:v>0</x:v>
      </x:c>
    </x:row>
    <x:row r="121" ht="8" customHeight="1"/>
    <x:row r="122" ht="30" customHeight="1">
      <x:c r="A122" s="343" t="str">
        <x:v>Комментарий:</x:v>
      </x:c>
      <x:c r="B122" s="344"/>
      <x:c r="C122" s="176" t="str">
        <x:f>IF(C120="","Выберите ответ.",IF(C120="A","Неверно. Этот вариант не соответствует ключу исходного теста. Правильный вариант: C.",IF(C120="B","Неверно. Этот вариант не соответствует ключу исходного теста. Правильный вариант: C.",IF(C120="C","Верно. Этот вариант соответствует ключу исходного теста.",IF(C120="D","Неверно. Этот вариант не соответствует ключу исходного теста. Правильный вариант: C.","Неверно. Ответ не распознан. Правильный вариант: C.")))))</x:f>
        <x:v>Выберите ответ.</x:v>
      </x:c>
      <x:c r="D122" s="177"/>
      <x:c r="E122" s="177"/>
      <x:c r="F122" s="177"/>
      <x:c r="G122" s="177"/>
      <x:c r="H122" s="178"/>
    </x:row>
    <x:row r="123" ht="30" customHeight="1">
      <x:c r="A123" s="345"/>
      <x:c r="B123" s="346"/>
      <x:c r="C123" s="179"/>
      <x:c r="D123" s="180"/>
      <x:c r="E123" s="180"/>
      <x:c r="F123" s="180"/>
      <x:c r="G123" s="180"/>
      <x:c r="H123" s="181"/>
    </x:row>
    <x:row r="125" ht="24" customHeight="1">
      <x:c r="A125" s="228" t="str">
        <x:v>Вопрос 10 из 20</x:v>
      </x:c>
      <x:c r="B125" s="228"/>
      <x:c r="C125" s="228"/>
      <x:c r="D125" s="228"/>
      <x:c r="E125" s="228"/>
      <x:c r="F125" s="228"/>
      <x:c r="G125" s="228"/>
      <x:c r="H125" s="228"/>
    </x:row>
    <x:row r="126" ht="34" customHeight="1">
      <x:c r="A126" s="243" t="str">
        <x:v>При проведении искусственной вентиляции легких объём вдуваемого воздуха в легкие пострадавшего должен составлять:</x:v>
      </x:c>
      <x:c r="B126" s="244"/>
      <x:c r="C126" s="244"/>
      <x:c r="D126" s="244"/>
      <x:c r="E126" s="244"/>
      <x:c r="F126" s="244"/>
      <x:c r="G126" s="244"/>
      <x:c r="H126" s="245"/>
    </x:row>
    <x:row r="127" ht="34" customHeight="1">
      <x:c r="A127" s="246"/>
      <x:c r="B127" s="247"/>
      <x:c r="C127" s="247"/>
      <x:c r="D127" s="247"/>
      <x:c r="E127" s="247"/>
      <x:c r="F127" s="247"/>
      <x:c r="G127" s="247"/>
      <x:c r="H127" s="248"/>
    </x:row>
    <x:row r="128" ht="8" customHeight="1"/>
    <x:row r="129" ht="24" customHeight="1">
      <x:c r="A129" s="253" t="str">
        <x:v>A</x:v>
      </x:c>
      <x:c r="B129" s="99" t="str">
        <x:v>0,3 - 0,5 литра</x:v>
      </x:c>
      <x:c r="C129" s="100"/>
      <x:c r="D129" s="100"/>
      <x:c r="E129" s="100"/>
      <x:c r="F129" s="100"/>
      <x:c r="G129" s="100"/>
      <x:c r="H129" s="101"/>
    </x:row>
    <x:row r="130" ht="24" customHeight="1">
      <x:c r="A130" s="253" t="str">
        <x:v>B</x:v>
      </x:c>
      <x:c r="B130" s="99" t="str">
        <x:v>0,5 - 0,7 литра</x:v>
      </x:c>
      <x:c r="C130" s="100"/>
      <x:c r="D130" s="100"/>
      <x:c r="E130" s="100"/>
      <x:c r="F130" s="100"/>
      <x:c r="G130" s="100"/>
      <x:c r="H130" s="101"/>
    </x:row>
    <x:row r="131" ht="24" customHeight="1">
      <x:c r="A131" s="253" t="str">
        <x:v>C</x:v>
      </x:c>
      <x:c r="B131" s="99" t="str">
        <x:v>1,5 - 2 литра</x:v>
      </x:c>
      <x:c r="C131" s="100"/>
      <x:c r="D131" s="100"/>
      <x:c r="E131" s="100"/>
      <x:c r="F131" s="100"/>
      <x:c r="G131" s="100"/>
      <x:c r="H131" s="101"/>
    </x:row>
    <x:row r="132" ht="24" customHeight="1">
      <x:c r="A132" s="253" t="str">
        <x:v>D</x:v>
      </x:c>
      <x:c r="B132" s="99" t="str">
        <x:v>0,8 - 1,2 литра</x:v>
      </x:c>
      <x:c r="C132" s="100"/>
      <x:c r="D132" s="100"/>
      <x:c r="E132" s="100"/>
      <x:c r="F132" s="100"/>
      <x:c r="G132" s="100"/>
      <x:c r="H132" s="101"/>
    </x:row>
    <x:row r="133" ht="8" customHeight="1"/>
    <x:row r="134" ht="28" customHeight="1">
      <x:c r="A134" s="258" t="str">
        <x:v>Ваш ответ:</x:v>
      </x:c>
      <x:c r="B134" s="259"/>
      <x:c r="C134" s="268"/>
      <x:c r="D134" s="269"/>
      <x:c r="E134" s="269"/>
      <x:c r="F134" s="269"/>
      <x:c r="G134" s="269"/>
      <x:c r="H134" s="270"/>
      <x:c r="Z134" t="n">
        <x:f>IF(C134="",0,IF(C134="D",1,0))</x:f>
        <x:v>0</x:v>
      </x:c>
      <x:c r="AA134" t="n">
        <x:f>IF(C134="",0,1)</x:f>
        <x:v>0</x:v>
      </x:c>
    </x:row>
    <x:row r="135" ht="8" customHeight="1"/>
    <x:row r="136" ht="30" customHeight="1">
      <x:c r="A136" s="343" t="str">
        <x:v>Комментарий:</x:v>
      </x:c>
      <x:c r="B136" s="344"/>
      <x:c r="C136" s="176" t="str">
        <x:f>IF(C134="","Выберите ответ.",IF(C134="A","Неверно. Этот вариант не соответствует ключу исходного теста. Правильный вариант: D.",IF(C134="B","Неверно. Этот вариант не соответствует ключу исходного теста. Правильный вариант: D.",IF(C134="C","Неверно. Этот вариант не соответствует ключу исходного теста. Правильный вариант: D.",IF(C134="D","Верно. Этот вариант соответствует ключу исходного теста.","Неверно. Ответ не распознан. Правильный вариант: D.")))))</x:f>
        <x:v>Выберите ответ.</x:v>
      </x:c>
      <x:c r="D136" s="177"/>
      <x:c r="E136" s="177"/>
      <x:c r="F136" s="177"/>
      <x:c r="G136" s="177"/>
      <x:c r="H136" s="178"/>
    </x:row>
    <x:row r="137" ht="30" customHeight="1">
      <x:c r="A137" s="345"/>
      <x:c r="B137" s="346"/>
      <x:c r="C137" s="179"/>
      <x:c r="D137" s="180"/>
      <x:c r="E137" s="180"/>
      <x:c r="F137" s="180"/>
      <x:c r="G137" s="180"/>
      <x:c r="H137" s="181"/>
    </x:row>
    <x:row r="139" ht="24" customHeight="1">
      <x:c r="A139" s="228" t="str">
        <x:v>Вопрос 11 из 20</x:v>
      </x:c>
      <x:c r="B139" s="228"/>
      <x:c r="C139" s="228"/>
      <x:c r="D139" s="228"/>
      <x:c r="E139" s="228"/>
      <x:c r="F139" s="228"/>
      <x:c r="G139" s="228"/>
      <x:c r="H139" s="228"/>
    </x:row>
    <x:row r="140" ht="48" customHeight="1">
      <x:c r="A140" s="243" t="str">
        <x:v>В какой последовательности следует оказывать помощь пострадавшему, если у него отсутствует сознание, прекратилось дыхание и сердечная деятельность?</x:v>
      </x:c>
      <x:c r="B140" s="244"/>
      <x:c r="C140" s="244"/>
      <x:c r="D140" s="244"/>
      <x:c r="E140" s="244"/>
      <x:c r="F140" s="244"/>
      <x:c r="G140" s="244"/>
      <x:c r="H140" s="245"/>
    </x:row>
    <x:row r="141" ht="48" customHeight="1">
      <x:c r="A141" s="246"/>
      <x:c r="B141" s="247"/>
      <x:c r="C141" s="247"/>
      <x:c r="D141" s="247"/>
      <x:c r="E141" s="247"/>
      <x:c r="F141" s="247"/>
      <x:c r="G141" s="247"/>
      <x:c r="H141" s="248"/>
    </x:row>
    <x:row r="142" ht="8" customHeight="1"/>
    <x:row r="143" ht="24" customHeight="1">
      <x:c r="A143" s="253" t="str">
        <x:v>A</x:v>
      </x:c>
      <x:c r="B143" s="99" t="str">
        <x:v>Наружный массаж сердца, освобождение дыхательных путей, ИВЛ</x:v>
      </x:c>
      <x:c r="C143" s="100"/>
      <x:c r="D143" s="100"/>
      <x:c r="E143" s="100"/>
      <x:c r="F143" s="100"/>
      <x:c r="G143" s="100"/>
      <x:c r="H143" s="101"/>
    </x:row>
    <x:row r="144" ht="24" customHeight="1">
      <x:c r="A144" s="253" t="str">
        <x:v>B</x:v>
      </x:c>
      <x:c r="B144" s="99" t="str">
        <x:v>Освобождение дыхательных путей, ИВЛ, наружный массаж сердца</x:v>
      </x:c>
      <x:c r="C144" s="100"/>
      <x:c r="D144" s="100"/>
      <x:c r="E144" s="100"/>
      <x:c r="F144" s="100"/>
      <x:c r="G144" s="100"/>
      <x:c r="H144" s="101"/>
    </x:row>
    <x:row r="145" ht="24" customHeight="1">
      <x:c r="A145" s="253" t="str">
        <x:v>C</x:v>
      </x:c>
      <x:c r="B145" s="99" t="str">
        <x:v>ИВЛ, наружный массаж сердца, освобождение дыхательных путей</x:v>
      </x:c>
      <x:c r="C145" s="100"/>
      <x:c r="D145" s="100"/>
      <x:c r="E145" s="100"/>
      <x:c r="F145" s="100"/>
      <x:c r="G145" s="100"/>
      <x:c r="H145" s="101"/>
    </x:row>
    <x:row r="146" ht="24" customHeight="1">
      <x:c r="A146" s="253" t="str">
        <x:v>D</x:v>
      </x:c>
      <x:c r="B146" s="99" t="str">
        <x:v>Наружный массаж сердца, ИВЛ, освобождение дыхательных путей</x:v>
      </x:c>
      <x:c r="C146" s="100"/>
      <x:c r="D146" s="100"/>
      <x:c r="E146" s="100"/>
      <x:c r="F146" s="100"/>
      <x:c r="G146" s="100"/>
      <x:c r="H146" s="101"/>
    </x:row>
    <x:row r="147" ht="8" customHeight="1"/>
    <x:row r="148" ht="28" customHeight="1">
      <x:c r="A148" s="258" t="str">
        <x:v>Ваш ответ:</x:v>
      </x:c>
      <x:c r="B148" s="259"/>
      <x:c r="C148" s="268"/>
      <x:c r="D148" s="269"/>
      <x:c r="E148" s="269"/>
      <x:c r="F148" s="269"/>
      <x:c r="G148" s="269"/>
      <x:c r="H148" s="270"/>
      <x:c r="Z148" t="n">
        <x:f>IF(C148="",0,IF(C148="B",1,0))</x:f>
        <x:v>0</x:v>
      </x:c>
      <x:c r="AA148" t="n">
        <x:f>IF(C148="",0,1)</x:f>
        <x:v>0</x:v>
      </x:c>
    </x:row>
    <x:row r="149" ht="8" customHeight="1"/>
    <x:row r="150" ht="30" customHeight="1">
      <x:c r="A150" s="343" t="str">
        <x:v>Комментарий:</x:v>
      </x:c>
      <x:c r="B150" s="344"/>
      <x:c r="C150" s="176" t="str">
        <x:f>IF(C148="","Выберите ответ.",IF(C148="A","Неверно. Нарушена требуемая последовательность действий. Правильный вариант: B.",IF(C148="B","Верно. Последовательность действий соответствует ключу исходного теста.",IF(C148="C","Неверно. Нарушена требуемая последовательность действий. Правильный вариант: B.",IF(C148="D","Неверно. Нарушена требуемая последовательность действий. Правильный вариант: B.","Неверно. Ответ не распознан. Правильный вариант: B.")))))</x:f>
        <x:v>Выберите ответ.</x:v>
      </x:c>
      <x:c r="D150" s="177"/>
      <x:c r="E150" s="177"/>
      <x:c r="F150" s="177"/>
      <x:c r="G150" s="177"/>
      <x:c r="H150" s="178"/>
    </x:row>
    <x:row r="151" ht="30" customHeight="1">
      <x:c r="A151" s="345"/>
      <x:c r="B151" s="346"/>
      <x:c r="C151" s="179"/>
      <x:c r="D151" s="180"/>
      <x:c r="E151" s="180"/>
      <x:c r="F151" s="180"/>
      <x:c r="G151" s="180"/>
      <x:c r="H151" s="181"/>
    </x:row>
    <x:row r="153" ht="24" customHeight="1">
      <x:c r="A153" s="228" t="str">
        <x:v>Вопрос 12 из 20</x:v>
      </x:c>
      <x:c r="B153" s="228"/>
      <x:c r="C153" s="228"/>
      <x:c r="D153" s="228"/>
      <x:c r="E153" s="228"/>
      <x:c r="F153" s="228"/>
      <x:c r="G153" s="228"/>
      <x:c r="H153" s="228"/>
    </x:row>
    <x:row r="154" ht="34" customHeight="1">
      <x:c r="A154" s="243" t="str">
        <x:v>Пропуски газа по фланцевому соединению ниже коренной задвижки – это...</x:v>
      </x:c>
      <x:c r="B154" s="244"/>
      <x:c r="C154" s="244"/>
      <x:c r="D154" s="244"/>
      <x:c r="E154" s="244"/>
      <x:c r="F154" s="244"/>
      <x:c r="G154" s="244"/>
      <x:c r="H154" s="245"/>
    </x:row>
    <x:row r="155" ht="34" customHeight="1">
      <x:c r="A155" s="246"/>
      <x:c r="B155" s="247"/>
      <x:c r="C155" s="247"/>
      <x:c r="D155" s="247"/>
      <x:c r="E155" s="247"/>
      <x:c r="F155" s="247"/>
      <x:c r="G155" s="247"/>
      <x:c r="H155" s="248"/>
    </x:row>
    <x:row r="156" ht="8" customHeight="1"/>
    <x:row r="157" ht="24" customHeight="1">
      <x:c r="A157" s="253" t="str">
        <x:v>A</x:v>
      </x:c>
      <x:c r="B157" s="99" t="str">
        <x:v>Косвенный признак ГНВП</x:v>
      </x:c>
      <x:c r="C157" s="100"/>
      <x:c r="D157" s="100"/>
      <x:c r="E157" s="100"/>
      <x:c r="F157" s="100"/>
      <x:c r="G157" s="100"/>
      <x:c r="H157" s="101"/>
    </x:row>
    <x:row r="158" ht="24" customHeight="1">
      <x:c r="A158" s="253" t="str">
        <x:v>B</x:v>
      </x:c>
      <x:c r="B158" s="99" t="str">
        <x:v>Открытый фонтан</x:v>
      </x:c>
      <x:c r="C158" s="100"/>
      <x:c r="D158" s="100"/>
      <x:c r="E158" s="100"/>
      <x:c r="F158" s="100"/>
      <x:c r="G158" s="100"/>
      <x:c r="H158" s="101"/>
    </x:row>
    <x:row r="159" ht="24" customHeight="1">
      <x:c r="A159" s="253" t="str">
        <x:v>C</x:v>
      </x:c>
      <x:c r="B159" s="99" t="str">
        <x:v>Прямой признак ГНВП</x:v>
      </x:c>
      <x:c r="C159" s="100"/>
      <x:c r="D159" s="100"/>
      <x:c r="E159" s="100"/>
      <x:c r="F159" s="100"/>
      <x:c r="G159" s="100"/>
      <x:c r="H159" s="101"/>
    </x:row>
    <x:row r="160" ht="24" customHeight="1">
      <x:c r="A160" s="253" t="str">
        <x:v>D</x:v>
      </x:c>
      <x:c r="B160" s="99" t="str">
        <x:v>Так должно быть</x:v>
      </x:c>
      <x:c r="C160" s="100"/>
      <x:c r="D160" s="100"/>
      <x:c r="E160" s="100"/>
      <x:c r="F160" s="100"/>
      <x:c r="G160" s="100"/>
      <x:c r="H160" s="101"/>
    </x:row>
    <x:row r="161" ht="8" customHeight="1"/>
    <x:row r="162" ht="28" customHeight="1">
      <x:c r="A162" s="258" t="str">
        <x:v>Ваш ответ:</x:v>
      </x:c>
      <x:c r="B162" s="259"/>
      <x:c r="C162" s="268"/>
      <x:c r="D162" s="269"/>
      <x:c r="E162" s="269"/>
      <x:c r="F162" s="269"/>
      <x:c r="G162" s="269"/>
      <x:c r="H162" s="270"/>
      <x:c r="Z162" t="n">
        <x:f>IF(C162="",0,IF(C162="B",1,0))</x:f>
        <x:v>0</x:v>
      </x:c>
      <x:c r="AA162" t="n">
        <x:f>IF(C162="",0,1)</x:f>
        <x:v>0</x:v>
      </x:c>
    </x:row>
    <x:row r="163" ht="8" customHeight="1"/>
    <x:row r="164" ht="30" customHeight="1">
      <x:c r="A164" s="343" t="str">
        <x:v>Комментарий:</x:v>
      </x:c>
      <x:c r="B164" s="344"/>
      <x:c r="C164" s="176" t="str">
        <x:f>IF(C162="","Выберите ответ.",IF(C162="A","Неверно. Этот вариант не соответствует ключу исходного теста. Правильный вариант: B.",IF(C162="B","Верно. Этот вариант соответствует ключу исходного теста.",IF(C162="C","Неверно. Этот вариант не соответствует ключу исходного теста. Правильный вариант: B.",IF(C162="D","Неверно. Этот вариант не соответствует ключу исходного теста. Правильный вариант: B.","Неверно. Ответ не распознан. Правильный вариант: B.")))))</x:f>
        <x:v>Выберите ответ.</x:v>
      </x:c>
      <x:c r="D164" s="177"/>
      <x:c r="E164" s="177"/>
      <x:c r="F164" s="177"/>
      <x:c r="G164" s="177"/>
      <x:c r="H164" s="178"/>
    </x:row>
    <x:row r="165" ht="30" customHeight="1">
      <x:c r="A165" s="345"/>
      <x:c r="B165" s="346"/>
      <x:c r="C165" s="179"/>
      <x:c r="D165" s="180"/>
      <x:c r="E165" s="180"/>
      <x:c r="F165" s="180"/>
      <x:c r="G165" s="180"/>
      <x:c r="H165" s="181"/>
    </x:row>
    <x:row r="167" ht="24" customHeight="1">
      <x:c r="A167" s="228" t="str">
        <x:v>Вопрос 13 из 20</x:v>
      </x:c>
      <x:c r="B167" s="228"/>
      <x:c r="C167" s="228"/>
      <x:c r="D167" s="228"/>
      <x:c r="E167" s="228"/>
      <x:c r="F167" s="228"/>
      <x:c r="G167" s="228"/>
      <x:c r="H167" s="228"/>
    </x:row>
    <x:row r="168" ht="34" customHeight="1">
      <x:c r="A168" s="243" t="str">
        <x:v>Какое давление будет постоянным в процессе миграции газовой пачки в закрытой скважине?</x:v>
      </x:c>
      <x:c r="B168" s="244"/>
      <x:c r="C168" s="244"/>
      <x:c r="D168" s="244"/>
      <x:c r="E168" s="244"/>
      <x:c r="F168" s="244"/>
      <x:c r="G168" s="244"/>
      <x:c r="H168" s="245"/>
    </x:row>
    <x:row r="169" ht="34" customHeight="1">
      <x:c r="A169" s="246"/>
      <x:c r="B169" s="247"/>
      <x:c r="C169" s="247"/>
      <x:c r="D169" s="247"/>
      <x:c r="E169" s="247"/>
      <x:c r="F169" s="247"/>
      <x:c r="G169" s="247"/>
      <x:c r="H169" s="248"/>
    </x:row>
    <x:row r="170" ht="8" customHeight="1"/>
    <x:row r="171" ht="24" customHeight="1">
      <x:c r="A171" s="253" t="str">
        <x:v>A</x:v>
      </x:c>
      <x:c r="B171" s="99" t="str">
        <x:v>Давление в газовой пачке, забойное давление</x:v>
      </x:c>
      <x:c r="C171" s="100"/>
      <x:c r="D171" s="100"/>
      <x:c r="E171" s="100"/>
      <x:c r="F171" s="100"/>
      <x:c r="G171" s="100"/>
      <x:c r="H171" s="101"/>
    </x:row>
    <x:row r="172" ht="24" customHeight="1">
      <x:c r="A172" s="253" t="str">
        <x:v>B</x:v>
      </x:c>
      <x:c r="B172" s="99" t="str">
        <x:v>Давление в газовой пачке, пластовое давление, избыточное трубное давление</x:v>
      </x:c>
      <x:c r="C172" s="100"/>
      <x:c r="D172" s="100"/>
      <x:c r="E172" s="100"/>
      <x:c r="F172" s="100"/>
      <x:c r="G172" s="100"/>
      <x:c r="H172" s="101"/>
    </x:row>
    <x:row r="173" ht="24" customHeight="1">
      <x:c r="A173" s="253" t="str">
        <x:v>C</x:v>
      </x:c>
      <x:c r="B173" s="99" t="str">
        <x:v>Давление в газовой пачке</x:v>
      </x:c>
      <x:c r="C173" s="100"/>
      <x:c r="D173" s="100"/>
      <x:c r="E173" s="100"/>
      <x:c r="F173" s="100"/>
      <x:c r="G173" s="100"/>
      <x:c r="H173" s="101"/>
    </x:row>
    <x:row r="174" ht="8" customHeight="1"/>
    <x:row r="175" ht="28" customHeight="1">
      <x:c r="A175" s="258" t="str">
        <x:v>Ваш ответ:</x:v>
      </x:c>
      <x:c r="B175" s="259"/>
      <x:c r="C175" s="268"/>
      <x:c r="D175" s="269"/>
      <x:c r="E175" s="269"/>
      <x:c r="F175" s="269"/>
      <x:c r="G175" s="269"/>
      <x:c r="H175" s="270"/>
      <x:c r="Z175" t="n">
        <x:f>IF(C175="",0,IF(C175="C",1,0))</x:f>
        <x:v>0</x:v>
      </x:c>
      <x:c r="AA175" t="n">
        <x:f>IF(C175="",0,1)</x:f>
        <x:v>0</x:v>
      </x:c>
    </x:row>
    <x:row r="176" ht="8" customHeight="1"/>
    <x:row r="177" ht="30" customHeight="1">
      <x:c r="A177" s="343" t="str">
        <x:v>Комментарий:</x:v>
      </x:c>
      <x:c r="B177" s="344"/>
      <x:c r="C177" s="176" t="str">
        <x:f>IF(C175="","Выберите ответ.",IF(C175="A","Неверно. Вариант содержит лишнее условие, которого нет в правильной формулировке. Правильный вариант: C.",IF(C175="B","Неверно. Вариант содержит лишнее условие, которого нет в правильной формулировке. Правильный вариант: C.",IF(C175="C","Верно. Направление изменения параметра соответствует процессу, указанному в исходном тесте.","Неверно. Ответ не распознан. Правильный вариант: C."))))</x:f>
        <x:v>Выберите ответ.</x:v>
      </x:c>
      <x:c r="D177" s="177"/>
      <x:c r="E177" s="177"/>
      <x:c r="F177" s="177"/>
      <x:c r="G177" s="177"/>
      <x:c r="H177" s="178"/>
    </x:row>
    <x:row r="178" ht="30" customHeight="1">
      <x:c r="A178" s="345"/>
      <x:c r="B178" s="346"/>
      <x:c r="C178" s="179"/>
      <x:c r="D178" s="180"/>
      <x:c r="E178" s="180"/>
      <x:c r="F178" s="180"/>
      <x:c r="G178" s="180"/>
      <x:c r="H178" s="181"/>
    </x:row>
    <x:row r="180" ht="24" customHeight="1">
      <x:c r="A180" s="228" t="str">
        <x:v>Вопрос 14 из 20</x:v>
      </x:c>
      <x:c r="B180" s="228"/>
      <x:c r="C180" s="228"/>
      <x:c r="D180" s="228"/>
      <x:c r="E180" s="228"/>
      <x:c r="F180" s="228"/>
      <x:c r="G180" s="228"/>
      <x:c r="H180" s="228"/>
    </x:row>
    <x:row r="181" ht="34" customHeight="1">
      <x:c r="A181" s="243" t="str">
        <x:v>В каких случаях разрешается эксплуатация оборудования с нарушением инструкции по эксплуатации?</x:v>
      </x:c>
      <x:c r="B181" s="244"/>
      <x:c r="C181" s="244"/>
      <x:c r="D181" s="244"/>
      <x:c r="E181" s="244"/>
      <x:c r="F181" s="244"/>
      <x:c r="G181" s="244"/>
      <x:c r="H181" s="245"/>
    </x:row>
    <x:row r="182" ht="34" customHeight="1">
      <x:c r="A182" s="246"/>
      <x:c r="B182" s="247"/>
      <x:c r="C182" s="247"/>
      <x:c r="D182" s="247"/>
      <x:c r="E182" s="247"/>
      <x:c r="F182" s="247"/>
      <x:c r="G182" s="247"/>
      <x:c r="H182" s="248"/>
    </x:row>
    <x:row r="183" ht="8" customHeight="1"/>
    <x:row r="184" ht="24" customHeight="1">
      <x:c r="A184" s="253" t="str">
        <x:v>A</x:v>
      </x:c>
      <x:c r="B184" s="99" t="str">
        <x:v>Разрешается, если применяемое оборудование прошло сертификацию в Ростехнадзоре</x:v>
      </x:c>
      <x:c r="C184" s="100"/>
      <x:c r="D184" s="100"/>
      <x:c r="E184" s="100"/>
      <x:c r="F184" s="100"/>
      <x:c r="G184" s="100"/>
      <x:c r="H184" s="101"/>
    </x:row>
    <x:row r="185" ht="24" customHeight="1">
      <x:c r="A185" s="253" t="str">
        <x:v>B</x:v>
      </x:c>
      <x:c r="B185" s="99" t="str">
        <x:v>Если есть письменное распоряжение начальника ГП(цеха)</x:v>
      </x:c>
      <x:c r="C185" s="100"/>
      <x:c r="D185" s="100"/>
      <x:c r="E185" s="100"/>
      <x:c r="F185" s="100"/>
      <x:c r="G185" s="100"/>
      <x:c r="H185" s="101"/>
    </x:row>
    <x:row r="186" ht="24" customHeight="1">
      <x:c r="A186" s="253" t="str">
        <x:v>C</x:v>
      </x:c>
      <x:c r="B186" s="99" t="str">
        <x:v>Запрещается</x:v>
      </x:c>
      <x:c r="C186" s="100"/>
      <x:c r="D186" s="100"/>
      <x:c r="E186" s="100"/>
      <x:c r="F186" s="100"/>
      <x:c r="G186" s="100"/>
      <x:c r="H186" s="101"/>
    </x:row>
    <x:row r="187" ht="24" customHeight="1">
      <x:c r="A187" s="253" t="str">
        <x:v>D</x:v>
      </x:c>
      <x:c r="B187" s="99" t="str">
        <x:v>Запрещается, если существует опасность возникновения аварийной ситуации на газопроводе</x:v>
      </x:c>
      <x:c r="C187" s="100"/>
      <x:c r="D187" s="100"/>
      <x:c r="E187" s="100"/>
      <x:c r="F187" s="100"/>
      <x:c r="G187" s="100"/>
      <x:c r="H187" s="101"/>
    </x:row>
    <x:row r="188" ht="8" customHeight="1"/>
    <x:row r="189" ht="28" customHeight="1">
      <x:c r="A189" s="258" t="str">
        <x:v>Ваш ответ:</x:v>
      </x:c>
      <x:c r="B189" s="259"/>
      <x:c r="C189" s="268"/>
      <x:c r="D189" s="269"/>
      <x:c r="E189" s="269"/>
      <x:c r="F189" s="269"/>
      <x:c r="G189" s="269"/>
      <x:c r="H189" s="270"/>
      <x:c r="Z189" t="n">
        <x:f>IF(C189="",0,IF(C189="C",1,0))</x:f>
        <x:v>0</x:v>
      </x:c>
      <x:c r="AA189" t="n">
        <x:f>IF(C189="",0,1)</x:f>
        <x:v>0</x:v>
      </x:c>
    </x:row>
    <x:row r="190" ht="8" customHeight="1"/>
    <x:row r="191" ht="30" customHeight="1">
      <x:c r="A191" s="343" t="str">
        <x:v>Комментарий:</x:v>
      </x:c>
      <x:c r="B191" s="344"/>
      <x:c r="C191" s="176" t="str">
        <x:f>IF(C189="","Выберите ответ.",IF(C189="A","Неверно. Условие допуска сформулировано не так, как в исходном тесте. Правильный вариант: C.",IF(C189="B","Неверно. Условие допуска сформулировано не так, как в исходном тесте. Правильный вариант: C.",IF(C189="C","Верно. Условие допуска сформулировано так, как принято в исходном тесте.",IF(C189="D","Неверно. Вариант содержит лишнее условие, которого нет в правильной формулировке. Правильный вариант: C.","Неверно. Ответ не распознан. Правильный вариант: C.")))))</x:f>
        <x:v>Выберите ответ.</x:v>
      </x:c>
      <x:c r="D191" s="177"/>
      <x:c r="E191" s="177"/>
      <x:c r="F191" s="177"/>
      <x:c r="G191" s="177"/>
      <x:c r="H191" s="178"/>
    </x:row>
    <x:row r="192" ht="30" customHeight="1">
      <x:c r="A192" s="345"/>
      <x:c r="B192" s="346"/>
      <x:c r="C192" s="179"/>
      <x:c r="D192" s="180"/>
      <x:c r="E192" s="180"/>
      <x:c r="F192" s="180"/>
      <x:c r="G192" s="180"/>
      <x:c r="H192" s="181"/>
    </x:row>
    <x:row r="194" ht="24" customHeight="1">
      <x:c r="A194" s="228" t="str">
        <x:v>Вопрос 15 из 20</x:v>
      </x:c>
      <x:c r="B194" s="228"/>
      <x:c r="C194" s="228"/>
      <x:c r="D194" s="228"/>
      <x:c r="E194" s="228"/>
      <x:c r="F194" s="228"/>
      <x:c r="G194" s="228"/>
      <x:c r="H194" s="228"/>
    </x:row>
    <x:row r="195" ht="48" customHeight="1">
      <x:c r="A195" s="243" t="str">
        <x:v>Какие требования предъявляются к переносным светильникам, применяемым при газоопасных работах, связанных с возможным выделением взрывоопасных продуктов?</x:v>
      </x:c>
      <x:c r="B195" s="244"/>
      <x:c r="C195" s="244"/>
      <x:c r="D195" s="244"/>
      <x:c r="E195" s="244"/>
      <x:c r="F195" s="244"/>
      <x:c r="G195" s="244"/>
      <x:c r="H195" s="245"/>
    </x:row>
    <x:row r="196" ht="48" customHeight="1">
      <x:c r="A196" s="246"/>
      <x:c r="B196" s="247"/>
      <x:c r="C196" s="247"/>
      <x:c r="D196" s="247"/>
      <x:c r="E196" s="247"/>
      <x:c r="F196" s="247"/>
      <x:c r="G196" s="247"/>
      <x:c r="H196" s="248"/>
    </x:row>
    <x:row r="197" ht="8" customHeight="1"/>
    <x:row r="198" ht="24" customHeight="1">
      <x:c r="A198" s="253" t="str">
        <x:v>A</x:v>
      </x:c>
      <x:c r="B198" s="99" t="str">
        <x:v>1. Применяются взрывозащищенные переносные светильники напряжением не выше 12В</x:v>
      </x:c>
      <x:c r="C198" s="100"/>
      <x:c r="D198" s="100"/>
      <x:c r="E198" s="100"/>
      <x:c r="F198" s="100"/>
      <x:c r="G198" s="100"/>
      <x:c r="H198" s="101"/>
    </x:row>
    <x:row r="199" ht="24" customHeight="1">
      <x:c r="A199" s="253" t="str">
        <x:v>B</x:v>
      </x:c>
      <x:c r="B199" s="99" t="str">
        <x:v>2. Применяются аккумуляторные лампы, соответствующие по исполнению категории и группе взрывоопасной смеси</x:v>
      </x:c>
      <x:c r="C199" s="100"/>
      <x:c r="D199" s="100"/>
      <x:c r="E199" s="100"/>
      <x:c r="F199" s="100"/>
      <x:c r="G199" s="100"/>
      <x:c r="H199" s="101"/>
    </x:row>
    <x:row r="200" ht="24" customHeight="1">
      <x:c r="A200" s="253" t="str">
        <x:v>C</x:v>
      </x:c>
      <x:c r="B200" s="99" t="str">
        <x:v>3. Применяются взрывозащищенные переносные светильники напряжением не выше 36В</x:v>
      </x:c>
      <x:c r="C200" s="100"/>
      <x:c r="D200" s="100"/>
      <x:c r="E200" s="100"/>
      <x:c r="F200" s="100"/>
      <x:c r="G200" s="100"/>
      <x:c r="H200" s="101"/>
    </x:row>
    <x:row r="201" ht="24" customHeight="1">
      <x:c r="A201" s="253" t="str">
        <x:v>D</x:v>
      </x:c>
      <x:c r="B201" s="99" t="str">
        <x:v>4. Перечисленные в ответах 1 и 2</x:v>
      </x:c>
      <x:c r="C201" s="100"/>
      <x:c r="D201" s="100"/>
      <x:c r="E201" s="100"/>
      <x:c r="F201" s="100"/>
      <x:c r="G201" s="100"/>
      <x:c r="H201" s="101"/>
    </x:row>
    <x:row r="202" ht="24" customHeight="1">
      <x:c r="A202" s="253" t="str">
        <x:v>E</x:v>
      </x:c>
      <x:c r="B202" s="99" t="str">
        <x:v>5. Перечисленные в ответах 2 и 3</x:v>
      </x:c>
      <x:c r="C202" s="100"/>
      <x:c r="D202" s="100"/>
      <x:c r="E202" s="100"/>
      <x:c r="F202" s="100"/>
      <x:c r="G202" s="100"/>
      <x:c r="H202" s="101"/>
    </x:row>
    <x:row r="203" ht="8" customHeight="1"/>
    <x:row r="204" ht="28" customHeight="1">
      <x:c r="A204" s="258" t="str">
        <x:v>Ваш ответ:</x:v>
      </x:c>
      <x:c r="B204" s="259"/>
      <x:c r="C204" s="268"/>
      <x:c r="D204" s="269"/>
      <x:c r="E204" s="269"/>
      <x:c r="F204" s="269"/>
      <x:c r="G204" s="269"/>
      <x:c r="H204" s="270"/>
      <x:c r="Z204" t="n">
        <x:f>IF(C204="",0,IF(C204="D",1,0))</x:f>
        <x:v>0</x:v>
      </x:c>
      <x:c r="AA204" t="n">
        <x:f>IF(C204="",0,1)</x:f>
        <x:v>0</x:v>
      </x:c>
    </x:row>
    <x:row r="205" ht="8" customHeight="1"/>
    <x:row r="206" ht="30" customHeight="1">
      <x:c r="A206" s="343" t="str">
        <x:v>Комментарий:</x:v>
      </x:c>
      <x:c r="B206" s="344"/>
      <x:c r="C206" s="176" t="str">
        <x:f>IF(C204="","Выберите ответ.",IF(C204="A","Неверно. Набор требований неполный либо содержит лишнее условие. Правильный вариант: D.",IF(C204="B","Неверно. Набор требований неполный либо содержит лишнее условие. Правильный вариант: D.",IF(C204="C","Неверно. Набор требований неполный либо содержит лишнее условие. Правильный вариант: D.",IF(C204="D","Верно. Этот набор требований соответствует ключу исходного теста.",IF(C204="E","Неверно. Набор требований неполный либо содержит лишнее условие. Правильный вариант: D.","Неверно. Ответ не распознан. Правильный вариант: D."))))))</x:f>
        <x:v>Выберите ответ.</x:v>
      </x:c>
      <x:c r="D206" s="177"/>
      <x:c r="E206" s="177"/>
      <x:c r="F206" s="177"/>
      <x:c r="G206" s="177"/>
      <x:c r="H206" s="178"/>
    </x:row>
    <x:row r="207" ht="30" customHeight="1">
      <x:c r="A207" s="345"/>
      <x:c r="B207" s="346"/>
      <x:c r="C207" s="179"/>
      <x:c r="D207" s="180"/>
      <x:c r="E207" s="180"/>
      <x:c r="F207" s="180"/>
      <x:c r="G207" s="180"/>
      <x:c r="H207" s="181"/>
    </x:row>
    <x:row r="209" ht="24" customHeight="1">
      <x:c r="A209" s="228" t="str">
        <x:v>Вопрос 16 из 20</x:v>
      </x:c>
      <x:c r="B209" s="228"/>
      <x:c r="C209" s="228"/>
      <x:c r="D209" s="228"/>
      <x:c r="E209" s="228"/>
      <x:c r="F209" s="228"/>
      <x:c r="G209" s="228"/>
      <x:c r="H209" s="228"/>
    </x:row>
    <x:row r="210" ht="34" customHeight="1">
      <x:c r="A210" s="243" t="str">
        <x:v>Какие требования предъявляются к выполнению газоопасных работ, не включенных в перечень?</x:v>
      </x:c>
      <x:c r="B210" s="244"/>
      <x:c r="C210" s="244"/>
      <x:c r="D210" s="244"/>
      <x:c r="E210" s="244"/>
      <x:c r="F210" s="244"/>
      <x:c r="G210" s="244"/>
      <x:c r="H210" s="245"/>
    </x:row>
    <x:row r="211" ht="34" customHeight="1">
      <x:c r="A211" s="246"/>
      <x:c r="B211" s="247"/>
      <x:c r="C211" s="247"/>
      <x:c r="D211" s="247"/>
      <x:c r="E211" s="247"/>
      <x:c r="F211" s="247"/>
      <x:c r="G211" s="247"/>
      <x:c r="H211" s="248"/>
    </x:row>
    <x:row r="212" ht="8" customHeight="1"/>
    <x:row r="213" ht="24" customHeight="1">
      <x:c r="A213" s="253" t="str">
        <x:v>A</x:v>
      </x:c>
      <x:c r="B213" s="99" t="str">
        <x:v>1. Выполняются по наряду-допуску в соответствии с требованиями инструкции по безопасному производству газоопасных работ</x:v>
      </x:c>
      <x:c r="C213" s="100"/>
      <x:c r="D213" s="100"/>
      <x:c r="E213" s="100"/>
      <x:c r="F213" s="100"/>
      <x:c r="G213" s="100"/>
      <x:c r="H213" s="101"/>
    </x:row>
    <x:row r="214" ht="24" customHeight="1">
      <x:c r="A214" s="253" t="str">
        <x:v>B</x:v>
      </x:c>
      <x:c r="B214" s="99" t="str">
        <x:v>2. Выполняются без наряда-допуска, но с записью в специальном журнале</x:v>
      </x:c>
      <x:c r="C214" s="100"/>
      <x:c r="D214" s="100"/>
      <x:c r="E214" s="100"/>
      <x:c r="F214" s="100"/>
      <x:c r="G214" s="100"/>
      <x:c r="H214" s="101"/>
    </x:row>
    <x:row r="215" ht="24" customHeight="1">
      <x:c r="A215" s="253" t="str">
        <x:v>C</x:v>
      </x:c>
      <x:c r="B215" s="99" t="str">
        <x:v>3. Условие 1, а также с последующим внесением их в 10-дневный срок в перечень газоопасных работ</x:v>
      </x:c>
      <x:c r="C215" s="100"/>
      <x:c r="D215" s="100"/>
      <x:c r="E215" s="100"/>
      <x:c r="F215" s="100"/>
      <x:c r="G215" s="100"/>
      <x:c r="H215" s="101"/>
    </x:row>
    <x:row r="216" ht="24" customHeight="1">
      <x:c r="A216" s="253" t="str">
        <x:v>D</x:v>
      </x:c>
      <x:c r="B216" s="99" t="str">
        <x:v>4. Могут выполняться по наряду-допуску и без наряда-допуска, но с соответствующей записью в специальном журнале</x:v>
      </x:c>
      <x:c r="C216" s="100"/>
      <x:c r="D216" s="100"/>
      <x:c r="E216" s="100"/>
      <x:c r="F216" s="100"/>
      <x:c r="G216" s="100"/>
      <x:c r="H216" s="101"/>
    </x:row>
    <x:row r="217" ht="8" customHeight="1"/>
    <x:row r="218" ht="28" customHeight="1">
      <x:c r="A218" s="258" t="str">
        <x:v>Ваш ответ:</x:v>
      </x:c>
      <x:c r="B218" s="259"/>
      <x:c r="C218" s="268"/>
      <x:c r="D218" s="269"/>
      <x:c r="E218" s="269"/>
      <x:c r="F218" s="269"/>
      <x:c r="G218" s="269"/>
      <x:c r="H218" s="270"/>
      <x:c r="Z218" t="n">
        <x:f>IF(C218="",0,IF(C218="C",1,0))</x:f>
        <x:v>0</x:v>
      </x:c>
      <x:c r="AA218" t="n">
        <x:f>IF(C218="",0,1)</x:f>
        <x:v>0</x:v>
      </x:c>
    </x:row>
    <x:row r="219" ht="8" customHeight="1"/>
    <x:row r="220" ht="30" customHeight="1">
      <x:c r="A220" s="343" t="str">
        <x:v>Комментарий:</x:v>
      </x:c>
      <x:c r="B220" s="344"/>
      <x:c r="C220" s="176" t="str">
        <x:f>IF(C218="","Выберите ответ.",IF(C218="A","Неверно. Набор требований неполный либо содержит лишнее условие. Правильный вариант: C.",IF(C218="B","Неверно. Набор требований неполный либо содержит лишнее условие. Правильный вариант: C.",IF(C218="C","Верно. Этот набор требований соответствует ключу исходного теста.",IF(C218="D","Неверно. Набор требований неполный либо содержит лишнее условие. Правильный вариант: C.","Неверно. Ответ не распознан. Правильный вариант: C.")))))</x:f>
        <x:v>Выберите ответ.</x:v>
      </x:c>
      <x:c r="D220" s="177"/>
      <x:c r="E220" s="177"/>
      <x:c r="F220" s="177"/>
      <x:c r="G220" s="177"/>
      <x:c r="H220" s="178"/>
    </x:row>
    <x:row r="221" ht="30" customHeight="1">
      <x:c r="A221" s="345"/>
      <x:c r="B221" s="346"/>
      <x:c r="C221" s="179"/>
      <x:c r="D221" s="180"/>
      <x:c r="E221" s="180"/>
      <x:c r="F221" s="180"/>
      <x:c r="G221" s="180"/>
      <x:c r="H221" s="181"/>
    </x:row>
    <x:row r="223" ht="24" customHeight="1">
      <x:c r="A223" s="228" t="str">
        <x:v>Вопрос 17 из 20</x:v>
      </x:c>
      <x:c r="B223" s="228"/>
      <x:c r="C223" s="228"/>
      <x:c r="D223" s="228"/>
      <x:c r="E223" s="228"/>
      <x:c r="F223" s="228"/>
      <x:c r="G223" s="228"/>
      <x:c r="H223" s="228"/>
    </x:row>
    <x:row r="224" ht="34" customHeight="1">
      <x:c r="A224" s="243" t="str">
        <x:v>Назовите обязанности ответственного за проведение газоопасной работы.</x:v>
      </x:c>
      <x:c r="B224" s="244"/>
      <x:c r="C224" s="244"/>
      <x:c r="D224" s="244"/>
      <x:c r="E224" s="244"/>
      <x:c r="F224" s="244"/>
      <x:c r="G224" s="244"/>
      <x:c r="H224" s="245"/>
    </x:row>
    <x:row r="225" ht="34" customHeight="1">
      <x:c r="A225" s="246"/>
      <x:c r="B225" s="247"/>
      <x:c r="C225" s="247"/>
      <x:c r="D225" s="247"/>
      <x:c r="E225" s="247"/>
      <x:c r="F225" s="247"/>
      <x:c r="G225" s="247"/>
      <x:c r="H225" s="248"/>
    </x:row>
    <x:row r="226" ht="8" customHeight="1"/>
    <x:row r="227" ht="38" customHeight="1">
      <x:c r="A227" s="253" t="str">
        <x:v>A</x:v>
      </x:c>
      <x:c r="B227" s="99" t="str">
        <x:v>1. Совместно с ответственным за подготовку проверить полноту выполнения подготовительных мероприятий, готовность объекта к проведению работ</x:v>
      </x:c>
      <x:c r="C227" s="100"/>
      <x:c r="D227" s="100"/>
      <x:c r="E227" s="100"/>
      <x:c r="F227" s="100"/>
      <x:c r="G227" s="100"/>
      <x:c r="H227" s="101"/>
    </x:row>
    <x:row r="228" ht="38" customHeight="1">
      <x:c r="A228" s="253" t="str">
        <x:v>B</x:v>
      </x:c>
      <x:c r="B228" s="99" t="str">
        <x:v>2. Проверить у исполнителей наличие и исправность средств индивидуальной защиты, инструмента и приспособлений, их соответствие характеру выполняемых работ</x:v>
      </x:c>
      <x:c r="C228" s="100"/>
      <x:c r="D228" s="100"/>
      <x:c r="E228" s="100"/>
      <x:c r="F228" s="100"/>
      <x:c r="G228" s="100"/>
      <x:c r="H228" s="101"/>
    </x:row>
    <x:row r="229" ht="24" customHeight="1">
      <x:c r="A229" s="253" t="str">
        <x:v>C</x:v>
      </x:c>
      <x:c r="B229" s="99" t="str">
        <x:v>3. Провести инструктаж исполнителей о правилах безопасного ведения работ и порядке эвакуации пострадавшего из опасной зоны</x:v>
      </x:c>
      <x:c r="C229" s="100"/>
      <x:c r="D229" s="100"/>
      <x:c r="E229" s="100"/>
      <x:c r="F229" s="100"/>
      <x:c r="G229" s="100"/>
      <x:c r="H229" s="101"/>
    </x:row>
    <x:row r="230" ht="24" customHeight="1">
      <x:c r="A230" s="253" t="str">
        <x:v>D</x:v>
      </x:c>
      <x:c r="B230" s="99" t="str">
        <x:v>4. Сообщить службе техники безопасности о готовности и исполнителей к производству работ</x:v>
      </x:c>
      <x:c r="C230" s="100"/>
      <x:c r="D230" s="100"/>
      <x:c r="E230" s="100"/>
      <x:c r="F230" s="100"/>
      <x:c r="G230" s="100"/>
      <x:c r="H230" s="101"/>
    </x:row>
    <x:row r="231" ht="24" customHeight="1">
      <x:c r="A231" s="253" t="str">
        <x:v>E</x:v>
      </x:c>
      <x:c r="B231" s="99" t="str">
        <x:v>5. Перечисленное выше</x:v>
      </x:c>
      <x:c r="C231" s="100"/>
      <x:c r="D231" s="100"/>
      <x:c r="E231" s="100"/>
      <x:c r="F231" s="100"/>
      <x:c r="G231" s="100"/>
      <x:c r="H231" s="101"/>
    </x:row>
    <x:row r="232" ht="8" customHeight="1"/>
    <x:row r="233" ht="28" customHeight="1">
      <x:c r="A233" s="258" t="str">
        <x:v>Ваш ответ:</x:v>
      </x:c>
      <x:c r="B233" s="259"/>
      <x:c r="C233" s="268"/>
      <x:c r="D233" s="269"/>
      <x:c r="E233" s="269"/>
      <x:c r="F233" s="269"/>
      <x:c r="G233" s="269"/>
      <x:c r="H233" s="270"/>
      <x:c r="Z233" t="n">
        <x:f>IF(C233="",0,IF(C233="E",1,0))</x:f>
        <x:v>0</x:v>
      </x:c>
      <x:c r="AA233" t="n">
        <x:f>IF(C233="",0,1)</x:f>
        <x:v>0</x:v>
      </x:c>
    </x:row>
    <x:row r="234" ht="8" customHeight="1"/>
    <x:row r="235" ht="30" customHeight="1">
      <x:c r="A235" s="343" t="str">
        <x:v>Комментарий:</x:v>
      </x:c>
      <x:c r="B235" s="344"/>
      <x:c r="C235" s="176" t="str">
        <x:f>IF(C233="","Выберите ответ.",IF(C233="A","Неверно. Этот вариант не соответствует ключу исходного теста. Правильный вариант: E.",IF(C233="B","Неверно. Этот вариант не соответствует ключу исходного теста. Правильный вариант: E.",IF(C233="C","Неверно. Этот вариант не соответствует ключу исходного теста. Правильный вариант: E.",IF(C233="D","Неверно. Этот вариант не соответствует ключу исходного теста. Правильный вариант: E.",IF(C233="E","Верно. Этот вариант соответствует ключу исходного теста.","Неверно. Ответ не распознан. Правильный вариант: E."))))))</x:f>
        <x:v>Выберите ответ.</x:v>
      </x:c>
      <x:c r="D235" s="177"/>
      <x:c r="E235" s="177"/>
      <x:c r="F235" s="177"/>
      <x:c r="G235" s="177"/>
      <x:c r="H235" s="178"/>
    </x:row>
    <x:row r="236" ht="30" customHeight="1">
      <x:c r="A236" s="345"/>
      <x:c r="B236" s="346"/>
      <x:c r="C236" s="179"/>
      <x:c r="D236" s="180"/>
      <x:c r="E236" s="180"/>
      <x:c r="F236" s="180"/>
      <x:c r="G236" s="180"/>
      <x:c r="H236" s="181"/>
    </x:row>
    <x:row r="238" ht="24" customHeight="1">
      <x:c r="A238" s="228" t="str">
        <x:v>Вопрос 18 из 20</x:v>
      </x:c>
      <x:c r="B238" s="228"/>
      <x:c r="C238" s="228"/>
      <x:c r="D238" s="228"/>
      <x:c r="E238" s="228"/>
      <x:c r="F238" s="228"/>
      <x:c r="G238" s="228"/>
      <x:c r="H238" s="228"/>
    </x:row>
    <x:row r="239" ht="34" customHeight="1">
      <x:c r="A239" s="243" t="str">
        <x:v>Разрешается ли входить в газоопасную зону?</x:v>
      </x:c>
      <x:c r="B239" s="244"/>
      <x:c r="C239" s="244"/>
      <x:c r="D239" s="244"/>
      <x:c r="E239" s="244"/>
      <x:c r="F239" s="244"/>
      <x:c r="G239" s="244"/>
      <x:c r="H239" s="245"/>
    </x:row>
    <x:row r="240" ht="34" customHeight="1">
      <x:c r="A240" s="246"/>
      <x:c r="B240" s="247"/>
      <x:c r="C240" s="247"/>
      <x:c r="D240" s="247"/>
      <x:c r="E240" s="247"/>
      <x:c r="F240" s="247"/>
      <x:c r="G240" s="247"/>
      <x:c r="H240" s="248"/>
    </x:row>
    <x:row r="241" ht="8" customHeight="1"/>
    <x:row r="242" ht="24" customHeight="1">
      <x:c r="A242" s="253" t="str">
        <x:v>A</x:v>
      </x:c>
      <x:c r="B242" s="99" t="str">
        <x:v>Не разрешается</x:v>
      </x:c>
      <x:c r="C242" s="100"/>
      <x:c r="D242" s="100"/>
      <x:c r="E242" s="100"/>
      <x:c r="F242" s="100"/>
      <x:c r="G242" s="100"/>
      <x:c r="H242" s="101"/>
    </x:row>
    <x:row r="243" ht="24" customHeight="1">
      <x:c r="A243" s="253" t="str">
        <x:v>B</x:v>
      </x:c>
      <x:c r="B243" s="99" t="str">
        <x:v>Разрешается</x:v>
      </x:c>
      <x:c r="C243" s="100"/>
      <x:c r="D243" s="100"/>
      <x:c r="E243" s="100"/>
      <x:c r="F243" s="100"/>
      <x:c r="G243" s="100"/>
      <x:c r="H243" s="101"/>
    </x:row>
    <x:row r="244" ht="24" customHeight="1">
      <x:c r="A244" s="253" t="str">
        <x:v>C</x:v>
      </x:c>
      <x:c r="B244" s="99" t="str">
        <x:v>Разрешается, но только с разрешения руководителя работ</x:v>
      </x:c>
      <x:c r="C244" s="100"/>
      <x:c r="D244" s="100"/>
      <x:c r="E244" s="100"/>
      <x:c r="F244" s="100"/>
      <x:c r="G244" s="100"/>
      <x:c r="H244" s="101"/>
    </x:row>
    <x:row r="245" ht="38" customHeight="1">
      <x:c r="A245" s="253" t="str">
        <x:v>D</x:v>
      </x:c>
      <x:c r="B245" s="99" t="str">
        <x:v>Разрешается, но только с разрешение ответственного за проведение газоопасных работ, в соответствующих средствах защиты, надетых за пределами опасной зоны</x:v>
      </x:c>
      <x:c r="C245" s="100"/>
      <x:c r="D245" s="100"/>
      <x:c r="E245" s="100"/>
      <x:c r="F245" s="100"/>
      <x:c r="G245" s="100"/>
      <x:c r="H245" s="101"/>
    </x:row>
    <x:row r="246" ht="24" customHeight="1">
      <x:c r="A246" s="253" t="str">
        <x:v>E</x:v>
      </x:c>
      <x:c r="B246" s="99" t="str">
        <x:v>Разрешается, но только в изолирующих противогазах</x:v>
      </x:c>
      <x:c r="C246" s="100"/>
      <x:c r="D246" s="100"/>
      <x:c r="E246" s="100"/>
      <x:c r="F246" s="100"/>
      <x:c r="G246" s="100"/>
      <x:c r="H246" s="101"/>
    </x:row>
    <x:row r="247" ht="8" customHeight="1"/>
    <x:row r="248" ht="28" customHeight="1">
      <x:c r="A248" s="258" t="str">
        <x:v>Ваш ответ:</x:v>
      </x:c>
      <x:c r="B248" s="259"/>
      <x:c r="C248" s="268"/>
      <x:c r="D248" s="269"/>
      <x:c r="E248" s="269"/>
      <x:c r="F248" s="269"/>
      <x:c r="G248" s="269"/>
      <x:c r="H248" s="270"/>
      <x:c r="Z248" t="n">
        <x:f>IF(C248="",0,IF(C248="D",1,0))</x:f>
        <x:v>0</x:v>
      </x:c>
      <x:c r="AA248" t="n">
        <x:f>IF(C248="",0,1)</x:f>
        <x:v>0</x:v>
      </x:c>
    </x:row>
    <x:row r="249" ht="8" customHeight="1"/>
    <x:row r="250" ht="30" customHeight="1">
      <x:c r="A250" s="343" t="str">
        <x:v>Комментарий:</x:v>
      </x:c>
      <x:c r="B250" s="344"/>
      <x:c r="C250" s="176" t="str">
        <x:f>IF(C248="","Выберите ответ.",IF(C248="A","Неверно. Условие допуска сформулировано не так, как в исходном тесте. Правильный вариант: D.",IF(C248="B","Неверно. Формулировка неполная: пропущена часть обязательных признаков. Правильный вариант: D.",IF(C248="C","Неверно. Условие допуска сформулировано не так, как в исходном тесте. Правильный вариант: D.",IF(C248="D","Верно. Условие допуска сформулировано так, как принято в исходном тесте.",IF(C248="E","Неверно. Условие допуска сформулировано не так, как в исходном тесте. Правильный вариант: D.","Неверно. Ответ не распознан. Правильный вариант: D."))))))</x:f>
        <x:v>Выберите ответ.</x:v>
      </x:c>
      <x:c r="D250" s="177"/>
      <x:c r="E250" s="177"/>
      <x:c r="F250" s="177"/>
      <x:c r="G250" s="177"/>
      <x:c r="H250" s="178"/>
    </x:row>
    <x:row r="251" ht="30" customHeight="1">
      <x:c r="A251" s="345"/>
      <x:c r="B251" s="346"/>
      <x:c r="C251" s="179"/>
      <x:c r="D251" s="180"/>
      <x:c r="E251" s="180"/>
      <x:c r="F251" s="180"/>
      <x:c r="G251" s="180"/>
      <x:c r="H251" s="181"/>
    </x:row>
    <x:row r="253" ht="24" customHeight="1">
      <x:c r="A253" s="228" t="str">
        <x:v>Вопрос 19 из 20</x:v>
      </x:c>
      <x:c r="B253" s="228"/>
      <x:c r="C253" s="228"/>
      <x:c r="D253" s="228"/>
      <x:c r="E253" s="228"/>
      <x:c r="F253" s="228"/>
      <x:c r="G253" s="228"/>
      <x:c r="H253" s="228"/>
    </x:row>
    <x:row r="254" ht="48" customHeight="1">
      <x:c r="A254" s="243" t="str">
        <x:v>Отсутствие проведения регулярных учебно-тренировочных занятий по усвоению действий при ГНВП – это какая из перечисленных причин возможного ГНВП?</x:v>
      </x:c>
      <x:c r="B254" s="244"/>
      <x:c r="C254" s="244"/>
      <x:c r="D254" s="244"/>
      <x:c r="E254" s="244"/>
      <x:c r="F254" s="244"/>
      <x:c r="G254" s="244"/>
      <x:c r="H254" s="245"/>
    </x:row>
    <x:row r="255" ht="48" customHeight="1">
      <x:c r="A255" s="246"/>
      <x:c r="B255" s="247"/>
      <x:c r="C255" s="247"/>
      <x:c r="D255" s="247"/>
      <x:c r="E255" s="247"/>
      <x:c r="F255" s="247"/>
      <x:c r="G255" s="247"/>
      <x:c r="H255" s="248"/>
    </x:row>
    <x:row r="256" ht="8" customHeight="1"/>
    <x:row r="257" ht="24" customHeight="1">
      <x:c r="A257" s="253" t="str">
        <x:v>A</x:v>
      </x:c>
      <x:c r="B257" s="99" t="str">
        <x:v>Организационно-технологическая причина</x:v>
      </x:c>
      <x:c r="C257" s="100"/>
      <x:c r="D257" s="100"/>
      <x:c r="E257" s="100"/>
      <x:c r="F257" s="100"/>
      <x:c r="G257" s="100"/>
      <x:c r="H257" s="101"/>
    </x:row>
    <x:row r="258" ht="24" customHeight="1">
      <x:c r="A258" s="253" t="str">
        <x:v>B</x:v>
      </x:c>
      <x:c r="B258" s="99" t="str">
        <x:v>Организационная причина</x:v>
      </x:c>
      <x:c r="C258" s="100"/>
      <x:c r="D258" s="100"/>
      <x:c r="E258" s="100"/>
      <x:c r="F258" s="100"/>
      <x:c r="G258" s="100"/>
      <x:c r="H258" s="101"/>
    </x:row>
    <x:row r="259" ht="24" customHeight="1">
      <x:c r="A259" s="253" t="str">
        <x:v>C</x:v>
      </x:c>
      <x:c r="B259" s="99" t="str">
        <x:v>Организационно-техническая причина</x:v>
      </x:c>
      <x:c r="C259" s="100"/>
      <x:c r="D259" s="100"/>
      <x:c r="E259" s="100"/>
      <x:c r="F259" s="100"/>
      <x:c r="G259" s="100"/>
      <x:c r="H259" s="101"/>
    </x:row>
    <x:row r="260" ht="8" customHeight="1"/>
    <x:row r="261" ht="28" customHeight="1">
      <x:c r="A261" s="258" t="str">
        <x:v>Ваш ответ:</x:v>
      </x:c>
      <x:c r="B261" s="259"/>
      <x:c r="C261" s="268"/>
      <x:c r="D261" s="269"/>
      <x:c r="E261" s="269"/>
      <x:c r="F261" s="269"/>
      <x:c r="G261" s="269"/>
      <x:c r="H261" s="270"/>
      <x:c r="Z261" t="n">
        <x:f>IF(C261="",0,IF(C261="B",1,0))</x:f>
        <x:v>0</x:v>
      </x:c>
      <x:c r="AA261" t="n">
        <x:f>IF(C261="",0,1)</x:f>
        <x:v>0</x:v>
      </x:c>
    </x:row>
    <x:row r="262" ht="8" customHeight="1"/>
    <x:row r="263" ht="30" customHeight="1">
      <x:c r="A263" s="343" t="str">
        <x:v>Комментарий:</x:v>
      </x:c>
      <x:c r="B263" s="344"/>
      <x:c r="C263" s="176" t="str">
        <x:f>IF(C261="","Выберите ответ.",IF(C261="A","Неверно. Эта причина не соответствует описанному признаку или условию. Правильный вариант: B.",IF(C261="B","Верно. Эта причина соответствует описанному признаку или условию.",IF(C261="C","Неверно. Эта причина не соответствует описанному признаку или условию. Правильный вариант: B.","Неверно. Ответ не распознан. Правильный вариант: B."))))</x:f>
        <x:v>Выберите ответ.</x:v>
      </x:c>
      <x:c r="D263" s="177"/>
      <x:c r="E263" s="177"/>
      <x:c r="F263" s="177"/>
      <x:c r="G263" s="177"/>
      <x:c r="H263" s="178"/>
    </x:row>
    <x:row r="264" ht="30" customHeight="1">
      <x:c r="A264" s="345"/>
      <x:c r="B264" s="346"/>
      <x:c r="C264" s="179"/>
      <x:c r="D264" s="180"/>
      <x:c r="E264" s="180"/>
      <x:c r="F264" s="180"/>
      <x:c r="G264" s="180"/>
      <x:c r="H264" s="181"/>
    </x:row>
    <x:row r="266" ht="24" customHeight="1">
      <x:c r="A266" s="228" t="str">
        <x:v>Вопрос 20 из 20</x:v>
      </x:c>
      <x:c r="B266" s="228"/>
      <x:c r="C266" s="228"/>
      <x:c r="D266" s="228"/>
      <x:c r="E266" s="228"/>
      <x:c r="F266" s="228"/>
      <x:c r="G266" s="228"/>
      <x:c r="H266" s="228"/>
    </x:row>
    <x:row r="267" ht="34" customHeight="1">
      <x:c r="A267" s="243" t="str">
        <x:v>Дайте определение понятию «газонефтеводопроявление»:</x:v>
      </x:c>
      <x:c r="B267" s="244"/>
      <x:c r="C267" s="244"/>
      <x:c r="D267" s="244"/>
      <x:c r="E267" s="244"/>
      <x:c r="F267" s="244"/>
      <x:c r="G267" s="244"/>
      <x:c r="H267" s="245"/>
    </x:row>
    <x:row r="268" ht="34" customHeight="1">
      <x:c r="A268" s="246"/>
      <x:c r="B268" s="247"/>
      <x:c r="C268" s="247"/>
      <x:c r="D268" s="247"/>
      <x:c r="E268" s="247"/>
      <x:c r="F268" s="247"/>
      <x:c r="G268" s="247"/>
      <x:c r="H268" s="248"/>
    </x:row>
    <x:row r="269" ht="8" customHeight="1"/>
    <x:row r="270" ht="38" customHeight="1">
      <x:c r="A270" s="253" t="str">
        <x:v>A</x:v>
      </x:c>
      <x:c r="B270" s="99" t="str">
        <x:v>Неуправляемое истечение пластовых флюидов через устье скважины в результате отсутствия, разрушения или негерметичности запорного оборудования или вследствие грифонообразования</x:v>
      </x:c>
      <x:c r="C270" s="100"/>
      <x:c r="D270" s="100"/>
      <x:c r="E270" s="100"/>
      <x:c r="F270" s="100"/>
      <x:c r="G270" s="100"/>
      <x:c r="H270" s="101"/>
    </x:row>
    <x:row r="271" ht="38" customHeight="1">
      <x:c r="A271" s="253" t="str">
        <x:v>B</x:v>
      </x:c>
      <x:c r="B271" s="99" t="str">
        <x:v>Инцидент, заключающийся в поступлении пластового флюида в ствол скважины, не предусмотренный режимом технологического процесса ее строительства или ремонта, создающий опасность аварии в виде неконтролируемого выброса (открытого фонтана)</x:v>
      </x:c>
      <x:c r="C271" s="100"/>
      <x:c r="D271" s="100"/>
      <x:c r="E271" s="100"/>
      <x:c r="F271" s="100"/>
      <x:c r="G271" s="100"/>
      <x:c r="H271" s="101"/>
    </x:row>
    <x:row r="272" ht="38" customHeight="1">
      <x:c r="A272" s="253" t="str">
        <x:v>C</x:v>
      </x:c>
      <x:c r="B272" s="99" t="str">
        <x:v>Неуправляемое поступление пластовых флюидов в ствол скважины в результате отсутствия, разрушения или негерметичности устьевого оборудования</x:v>
      </x:c>
      <x:c r="C272" s="100"/>
      <x:c r="D272" s="100"/>
      <x:c r="E272" s="100"/>
      <x:c r="F272" s="100"/>
      <x:c r="G272" s="100"/>
      <x:c r="H272" s="101"/>
    </x:row>
    <x:row r="273" ht="8" customHeight="1"/>
    <x:row r="274" ht="28" customHeight="1">
      <x:c r="A274" s="258" t="str">
        <x:v>Ваш ответ:</x:v>
      </x:c>
      <x:c r="B274" s="259"/>
      <x:c r="C274" s="268"/>
      <x:c r="D274" s="269"/>
      <x:c r="E274" s="269"/>
      <x:c r="F274" s="269"/>
      <x:c r="G274" s="269"/>
      <x:c r="H274" s="270"/>
      <x:c r="Z274" t="n">
        <x:f>IF(C274="",0,IF(C274="B",1,0))</x:f>
        <x:v>0</x:v>
      </x:c>
      <x:c r="AA274" t="n">
        <x:f>IF(C274="",0,1)</x:f>
        <x:v>0</x:v>
      </x:c>
    </x:row>
    <x:row r="275" ht="8" customHeight="1"/>
    <x:row r="276" ht="30" customHeight="1">
      <x:c r="A276" s="343" t="str">
        <x:v>Комментарий:</x:v>
      </x:c>
      <x:c r="B276" s="344"/>
      <x:c r="C276" s="176" t="str">
        <x:f>IF(C274="","Выберите ответ.",IF(C274="A","Неверно. Формулировка неполная либо описывает другой процесс. Правильный вариант: B.",IF(C274="B","Верно. Это полная формулировка определения, принятого в исходном тесте.",IF(C274="C","Неверно. Формулировка неполная либо описывает другой процесс. Правильный вариант: B.","Неверно. Ответ не распознан. Правильный вариант: B."))))</x:f>
        <x:v>Выберите ответ.</x:v>
      </x:c>
      <x:c r="D276" s="177"/>
      <x:c r="E276" s="177"/>
      <x:c r="F276" s="177"/>
      <x:c r="G276" s="177"/>
      <x:c r="H276" s="178"/>
    </x:row>
    <x:row r="277" ht="30" customHeight="1">
      <x:c r="A277" s="345"/>
      <x:c r="B277" s="346"/>
      <x:c r="C277" s="179"/>
      <x:c r="D277" s="180"/>
      <x:c r="E277" s="180"/>
      <x:c r="F277" s="180"/>
      <x:c r="G277" s="180"/>
      <x:c r="H277" s="181"/>
    </x:row>
    <x:row r="279" ht="10" customHeight="1"/>
  </x:sheetData>
  <x:mergeCells>
    <x:mergeCell ref="A1:H1"/>
    <x:mergeCell ref="A2:H2"/>
    <x:mergeCell ref="A3:B3"/>
    <x:mergeCell ref="D3:E3"/>
    <x:mergeCell ref="A5:H5"/>
    <x:mergeCell ref="A6:H7"/>
    <x:mergeCell ref="B9:H9"/>
    <x:mergeCell ref="B10:H10"/>
    <x:mergeCell ref="B11:H11"/>
    <x:mergeCell ref="A13:B13"/>
    <x:mergeCell ref="C13:H13"/>
    <x:mergeCell ref="A15:B16"/>
    <x:mergeCell ref="C15:H16"/>
    <x:mergeCell ref="A18:H18"/>
    <x:mergeCell ref="A19:H20"/>
    <x:mergeCell ref="B22:H22"/>
    <x:mergeCell ref="B23:H23"/>
    <x:mergeCell ref="B24:H24"/>
    <x:mergeCell ref="B25:H25"/>
    <x:mergeCell ref="A27:B27"/>
    <x:mergeCell ref="C27:H27"/>
    <x:mergeCell ref="A29:B30"/>
    <x:mergeCell ref="C29:H30"/>
    <x:mergeCell ref="A32:H32"/>
    <x:mergeCell ref="A33:H34"/>
    <x:mergeCell ref="B36:H36"/>
    <x:mergeCell ref="B37:H37"/>
    <x:mergeCell ref="B38:H38"/>
    <x:mergeCell ref="B39:H39"/>
    <x:mergeCell ref="A41:B41"/>
    <x:mergeCell ref="C41:H41"/>
    <x:mergeCell ref="A43:B44"/>
    <x:mergeCell ref="C43:H44"/>
    <x:mergeCell ref="A46:H46"/>
    <x:mergeCell ref="A47:H48"/>
    <x:mergeCell ref="B50:H50"/>
    <x:mergeCell ref="B51:H51"/>
    <x:mergeCell ref="B52:H52"/>
    <x:mergeCell ref="B53:H53"/>
    <x:mergeCell ref="A55:B55"/>
    <x:mergeCell ref="C55:H55"/>
    <x:mergeCell ref="A57:B58"/>
    <x:mergeCell ref="C57:H58"/>
    <x:mergeCell ref="A60:H60"/>
    <x:mergeCell ref="A61:H62"/>
    <x:mergeCell ref="B64:H64"/>
    <x:mergeCell ref="B65:H65"/>
    <x:mergeCell ref="B66:H66"/>
    <x:mergeCell ref="A68:B68"/>
    <x:mergeCell ref="C68:H68"/>
    <x:mergeCell ref="A70:B71"/>
    <x:mergeCell ref="C70:H71"/>
    <x:mergeCell ref="A73:H73"/>
    <x:mergeCell ref="A74:H75"/>
    <x:mergeCell ref="B77:H77"/>
    <x:mergeCell ref="B78:H78"/>
    <x:mergeCell ref="B79:H79"/>
    <x:mergeCell ref="B80:H80"/>
    <x:mergeCell ref="A82:B82"/>
    <x:mergeCell ref="C82:H82"/>
    <x:mergeCell ref="A84:B85"/>
    <x:mergeCell ref="C84:H85"/>
    <x:mergeCell ref="A87:H87"/>
    <x:mergeCell ref="A88:H89"/>
    <x:mergeCell ref="B91:H91"/>
    <x:mergeCell ref="B92:H92"/>
    <x:mergeCell ref="A94:B94"/>
    <x:mergeCell ref="C94:H94"/>
    <x:mergeCell ref="A96:B97"/>
    <x:mergeCell ref="C96:H97"/>
    <x:mergeCell ref="A99:H99"/>
    <x:mergeCell ref="A100:H101"/>
    <x:mergeCell ref="B103:H103"/>
    <x:mergeCell ref="B104:H104"/>
    <x:mergeCell ref="A106:B106"/>
    <x:mergeCell ref="C106:H106"/>
    <x:mergeCell ref="A108:B109"/>
    <x:mergeCell ref="C108:H109"/>
    <x:mergeCell ref="A111:H111"/>
    <x:mergeCell ref="A112:H113"/>
    <x:mergeCell ref="B115:H115"/>
    <x:mergeCell ref="B116:H116"/>
    <x:mergeCell ref="B117:H117"/>
    <x:mergeCell ref="B118:H118"/>
    <x:mergeCell ref="A120:B120"/>
    <x:mergeCell ref="C120:H120"/>
    <x:mergeCell ref="A122:B123"/>
    <x:mergeCell ref="C122:H123"/>
    <x:mergeCell ref="A125:H125"/>
    <x:mergeCell ref="A126:H127"/>
    <x:mergeCell ref="B129:H129"/>
    <x:mergeCell ref="B130:H130"/>
    <x:mergeCell ref="B131:H131"/>
    <x:mergeCell ref="B132:H132"/>
    <x:mergeCell ref="A134:B134"/>
    <x:mergeCell ref="C134:H134"/>
    <x:mergeCell ref="A136:B137"/>
    <x:mergeCell ref="C136:H137"/>
    <x:mergeCell ref="A139:H139"/>
    <x:mergeCell ref="A140:H141"/>
    <x:mergeCell ref="B143:H143"/>
    <x:mergeCell ref="B144:H144"/>
    <x:mergeCell ref="B145:H145"/>
    <x:mergeCell ref="B146:H146"/>
    <x:mergeCell ref="A148:B148"/>
    <x:mergeCell ref="C148:H148"/>
    <x:mergeCell ref="A150:B151"/>
    <x:mergeCell ref="C150:H151"/>
    <x:mergeCell ref="A153:H153"/>
    <x:mergeCell ref="A154:H155"/>
    <x:mergeCell ref="B157:H157"/>
    <x:mergeCell ref="B158:H158"/>
    <x:mergeCell ref="B159:H159"/>
    <x:mergeCell ref="B160:H160"/>
    <x:mergeCell ref="A162:B162"/>
    <x:mergeCell ref="C162:H162"/>
    <x:mergeCell ref="A164:B165"/>
    <x:mergeCell ref="C164:H165"/>
    <x:mergeCell ref="A167:H167"/>
    <x:mergeCell ref="A168:H169"/>
    <x:mergeCell ref="B171:H171"/>
    <x:mergeCell ref="B172:H172"/>
    <x:mergeCell ref="B173:H173"/>
    <x:mergeCell ref="A175:B175"/>
    <x:mergeCell ref="C175:H175"/>
    <x:mergeCell ref="A177:B178"/>
    <x:mergeCell ref="C177:H178"/>
    <x:mergeCell ref="A180:H180"/>
    <x:mergeCell ref="A181:H182"/>
    <x:mergeCell ref="B184:H184"/>
    <x:mergeCell ref="B185:H185"/>
    <x:mergeCell ref="B186:H186"/>
    <x:mergeCell ref="B187:H187"/>
    <x:mergeCell ref="A189:B189"/>
    <x:mergeCell ref="C189:H189"/>
    <x:mergeCell ref="A191:B192"/>
    <x:mergeCell ref="C191:H192"/>
    <x:mergeCell ref="A194:H194"/>
    <x:mergeCell ref="A195:H196"/>
    <x:mergeCell ref="B198:H198"/>
    <x:mergeCell ref="B199:H199"/>
    <x:mergeCell ref="B200:H200"/>
    <x:mergeCell ref="B201:H201"/>
    <x:mergeCell ref="B202:H202"/>
    <x:mergeCell ref="A204:B204"/>
    <x:mergeCell ref="C204:H204"/>
    <x:mergeCell ref="A206:B207"/>
    <x:mergeCell ref="C206:H207"/>
    <x:mergeCell ref="A209:H209"/>
    <x:mergeCell ref="A210:H211"/>
    <x:mergeCell ref="B213:H213"/>
    <x:mergeCell ref="B214:H214"/>
    <x:mergeCell ref="B215:H215"/>
    <x:mergeCell ref="B216:H216"/>
    <x:mergeCell ref="A218:B218"/>
    <x:mergeCell ref="C218:H218"/>
    <x:mergeCell ref="A220:B221"/>
    <x:mergeCell ref="C220:H221"/>
    <x:mergeCell ref="A223:H223"/>
    <x:mergeCell ref="A224:H225"/>
    <x:mergeCell ref="B227:H227"/>
    <x:mergeCell ref="B228:H228"/>
    <x:mergeCell ref="B229:H229"/>
    <x:mergeCell ref="B230:H230"/>
    <x:mergeCell ref="B231:H231"/>
    <x:mergeCell ref="A233:B233"/>
    <x:mergeCell ref="C233:H233"/>
    <x:mergeCell ref="A235:B236"/>
    <x:mergeCell ref="C235:H236"/>
    <x:mergeCell ref="A238:H238"/>
    <x:mergeCell ref="A239:H240"/>
    <x:mergeCell ref="B242:H242"/>
    <x:mergeCell ref="B243:H243"/>
    <x:mergeCell ref="B244:H244"/>
    <x:mergeCell ref="B245:H245"/>
    <x:mergeCell ref="B246:H246"/>
    <x:mergeCell ref="A248:B248"/>
    <x:mergeCell ref="C248:H248"/>
    <x:mergeCell ref="A250:B251"/>
    <x:mergeCell ref="C250:H251"/>
    <x:mergeCell ref="A253:H253"/>
    <x:mergeCell ref="A254:H255"/>
    <x:mergeCell ref="B257:H257"/>
    <x:mergeCell ref="B258:H258"/>
    <x:mergeCell ref="B259:H259"/>
    <x:mergeCell ref="A261:B261"/>
    <x:mergeCell ref="C261:H261"/>
    <x:mergeCell ref="A263:B264"/>
    <x:mergeCell ref="C263:H264"/>
    <x:mergeCell ref="A266:H266"/>
    <x:mergeCell ref="A267:H268"/>
    <x:mergeCell ref="B270:H270"/>
    <x:mergeCell ref="B271:H271"/>
    <x:mergeCell ref="B272:H272"/>
    <x:mergeCell ref="A274:B274"/>
    <x:mergeCell ref="C274:H274"/>
    <x:mergeCell ref="A276:B277"/>
    <x:mergeCell ref="C276:H277"/>
  </x:mergeCells>
  <x:conditionalFormatting sqref="C15:H16">
    <x:cfRule type="expression" dxfId="300" priority="1">
      <x:formula>LEFT($C$15,6)="Верно."</x:formula>
    </x:cfRule>
    <x:cfRule type="expression" dxfId="301" priority="2">
      <x:formula>LEFT($C$15,7)="Неверно"</x:formula>
    </x:cfRule>
  </x:conditionalFormatting>
  <x:conditionalFormatting sqref="C29:H30">
    <x:cfRule type="expression" dxfId="302" priority="3">
      <x:formula>LEFT($C$29,6)="Верно."</x:formula>
    </x:cfRule>
    <x:cfRule type="expression" dxfId="303" priority="4">
      <x:formula>LEFT($C$29,7)="Неверно"</x:formula>
    </x:cfRule>
  </x:conditionalFormatting>
  <x:conditionalFormatting sqref="C43:H44">
    <x:cfRule type="expression" dxfId="304" priority="5">
      <x:formula>LEFT($C$43,6)="Верно."</x:formula>
    </x:cfRule>
    <x:cfRule type="expression" dxfId="305" priority="6">
      <x:formula>LEFT($C$43,7)="Неверно"</x:formula>
    </x:cfRule>
  </x:conditionalFormatting>
  <x:conditionalFormatting sqref="C57:H58">
    <x:cfRule type="expression" dxfId="306" priority="7">
      <x:formula>LEFT($C$57,6)="Верно."</x:formula>
    </x:cfRule>
    <x:cfRule type="expression" dxfId="307" priority="8">
      <x:formula>LEFT($C$57,7)="Неверно"</x:formula>
    </x:cfRule>
  </x:conditionalFormatting>
  <x:conditionalFormatting sqref="C70:H71">
    <x:cfRule type="expression" dxfId="308" priority="9">
      <x:formula>LEFT($C$70,6)="Верно."</x:formula>
    </x:cfRule>
    <x:cfRule type="expression" dxfId="309" priority="10">
      <x:formula>LEFT($C$70,7)="Неверно"</x:formula>
    </x:cfRule>
  </x:conditionalFormatting>
  <x:conditionalFormatting sqref="C84:H85">
    <x:cfRule type="expression" dxfId="310" priority="11">
      <x:formula>LEFT($C$84,6)="Верно."</x:formula>
    </x:cfRule>
    <x:cfRule type="expression" dxfId="311" priority="12">
      <x:formula>LEFT($C$84,7)="Неверно"</x:formula>
    </x:cfRule>
  </x:conditionalFormatting>
  <x:conditionalFormatting sqref="C96:H97">
    <x:cfRule type="expression" dxfId="312" priority="13">
      <x:formula>LEFT($C$96,6)="Верно."</x:formula>
    </x:cfRule>
    <x:cfRule type="expression" dxfId="313" priority="14">
      <x:formula>LEFT($C$96,7)="Неверно"</x:formula>
    </x:cfRule>
  </x:conditionalFormatting>
  <x:conditionalFormatting sqref="C108:H109">
    <x:cfRule type="expression" dxfId="314" priority="15">
      <x:formula>LEFT($C$108,6)="Верно."</x:formula>
    </x:cfRule>
    <x:cfRule type="expression" dxfId="315" priority="16">
      <x:formula>LEFT($C$108,7)="Неверно"</x:formula>
    </x:cfRule>
  </x:conditionalFormatting>
  <x:conditionalFormatting sqref="C122:H123">
    <x:cfRule type="expression" dxfId="316" priority="17">
      <x:formula>LEFT($C$122,6)="Верно."</x:formula>
    </x:cfRule>
    <x:cfRule type="expression" dxfId="317" priority="18">
      <x:formula>LEFT($C$122,7)="Неверно"</x:formula>
    </x:cfRule>
  </x:conditionalFormatting>
  <x:conditionalFormatting sqref="C136:H137">
    <x:cfRule type="expression" dxfId="318" priority="19">
      <x:formula>LEFT($C$136,6)="Верно."</x:formula>
    </x:cfRule>
    <x:cfRule type="expression" dxfId="319" priority="20">
      <x:formula>LEFT($C$136,7)="Неверно"</x:formula>
    </x:cfRule>
  </x:conditionalFormatting>
  <x:conditionalFormatting sqref="C150:H151">
    <x:cfRule type="expression" dxfId="320" priority="21">
      <x:formula>LEFT($C$150,6)="Верно."</x:formula>
    </x:cfRule>
    <x:cfRule type="expression" dxfId="321" priority="22">
      <x:formula>LEFT($C$150,7)="Неверно"</x:formula>
    </x:cfRule>
  </x:conditionalFormatting>
  <x:conditionalFormatting sqref="C164:H165">
    <x:cfRule type="expression" dxfId="322" priority="23">
      <x:formula>LEFT($C$164,6)="Верно."</x:formula>
    </x:cfRule>
    <x:cfRule type="expression" dxfId="323" priority="24">
      <x:formula>LEFT($C$164,7)="Неверно"</x:formula>
    </x:cfRule>
  </x:conditionalFormatting>
  <x:conditionalFormatting sqref="C177:H178">
    <x:cfRule type="expression" dxfId="324" priority="25">
      <x:formula>LEFT($C$177,6)="Верно."</x:formula>
    </x:cfRule>
    <x:cfRule type="expression" dxfId="325" priority="26">
      <x:formula>LEFT($C$177,7)="Неверно"</x:formula>
    </x:cfRule>
  </x:conditionalFormatting>
  <x:conditionalFormatting sqref="C191:H192">
    <x:cfRule type="expression" dxfId="326" priority="27">
      <x:formula>LEFT($C$191,6)="Верно."</x:formula>
    </x:cfRule>
    <x:cfRule type="expression" dxfId="327" priority="28">
      <x:formula>LEFT($C$191,7)="Неверно"</x:formula>
    </x:cfRule>
  </x:conditionalFormatting>
  <x:conditionalFormatting sqref="C206:H207">
    <x:cfRule type="expression" dxfId="328" priority="29">
      <x:formula>LEFT($C$206,6)="Верно."</x:formula>
    </x:cfRule>
    <x:cfRule type="expression" dxfId="329" priority="30">
      <x:formula>LEFT($C$206,7)="Неверно"</x:formula>
    </x:cfRule>
  </x:conditionalFormatting>
  <x:conditionalFormatting sqref="C220:H221">
    <x:cfRule type="expression" dxfId="330" priority="31">
      <x:formula>LEFT($C$220,6)="Верно."</x:formula>
    </x:cfRule>
    <x:cfRule type="expression" dxfId="331" priority="32">
      <x:formula>LEFT($C$220,7)="Неверно"</x:formula>
    </x:cfRule>
  </x:conditionalFormatting>
  <x:conditionalFormatting sqref="C235:H236">
    <x:cfRule type="expression" dxfId="332" priority="33">
      <x:formula>LEFT($C$235,6)="Верно."</x:formula>
    </x:cfRule>
    <x:cfRule type="expression" dxfId="333" priority="34">
      <x:formula>LEFT($C$235,7)="Неверно"</x:formula>
    </x:cfRule>
  </x:conditionalFormatting>
  <x:conditionalFormatting sqref="C250:H251">
    <x:cfRule type="expression" dxfId="334" priority="35">
      <x:formula>LEFT($C$250,6)="Верно."</x:formula>
    </x:cfRule>
    <x:cfRule type="expression" dxfId="335" priority="36">
      <x:formula>LEFT($C$250,7)="Неверно"</x:formula>
    </x:cfRule>
  </x:conditionalFormatting>
  <x:conditionalFormatting sqref="C263:H264">
    <x:cfRule type="expression" dxfId="336" priority="37">
      <x:formula>LEFT($C$263,6)="Верно."</x:formula>
    </x:cfRule>
    <x:cfRule type="expression" dxfId="337" priority="38">
      <x:formula>LEFT($C$263,7)="Неверно"</x:formula>
    </x:cfRule>
  </x:conditionalFormatting>
  <x:conditionalFormatting sqref="C276:H277">
    <x:cfRule type="expression" dxfId="338" priority="39">
      <x:formula>LEFT($C$276,6)="Верно."</x:formula>
    </x:cfRule>
    <x:cfRule type="expression" dxfId="339" priority="40">
      <x:formula>LEFT($C$276,7)="Неверно"</x:formula>
    </x:cfRule>
  </x:conditionalFormatting>
  <x:dataValidations count="20">
    <x:dataValidation type="list" sqref="C13:H13">
      <x:formula1>"A,B,C"</x:formula1>
    </x:dataValidation>
    <x:dataValidation type="list" sqref="C27:H27">
      <x:formula1>"A,B,C,D"</x:formula1>
    </x:dataValidation>
    <x:dataValidation type="list" sqref="C41:H41">
      <x:formula1>"A,B,C,D"</x:formula1>
    </x:dataValidation>
    <x:dataValidation type="list" sqref="C55:H55">
      <x:formula1>"A,B,C,D"</x:formula1>
    </x:dataValidation>
    <x:dataValidation type="list" sqref="C68:H68">
      <x:formula1>"A,B,C"</x:formula1>
    </x:dataValidation>
    <x:dataValidation type="list" sqref="C82:H82">
      <x:formula1>"A,B,C,D"</x:formula1>
    </x:dataValidation>
    <x:dataValidation type="list" sqref="C94:H94">
      <x:formula1>"A,B"</x:formula1>
    </x:dataValidation>
    <x:dataValidation type="list" sqref="C106:H106">
      <x:formula1>"A,B"</x:formula1>
    </x:dataValidation>
    <x:dataValidation type="list" sqref="C120:H120">
      <x:formula1>"A,B,C,D"</x:formula1>
    </x:dataValidation>
    <x:dataValidation type="list" sqref="C134:H134">
      <x:formula1>"A,B,C,D"</x:formula1>
    </x:dataValidation>
    <x:dataValidation type="list" sqref="C148:H148">
      <x:formula1>"A,B,C,D"</x:formula1>
    </x:dataValidation>
    <x:dataValidation type="list" sqref="C162:H162">
      <x:formula1>"A,B,C,D"</x:formula1>
    </x:dataValidation>
    <x:dataValidation type="list" sqref="C175:H175">
      <x:formula1>"A,B,C"</x:formula1>
    </x:dataValidation>
    <x:dataValidation type="list" sqref="C189:H189">
      <x:formula1>"A,B,C,D"</x:formula1>
    </x:dataValidation>
    <x:dataValidation type="list" sqref="C204:H204">
      <x:formula1>"A,B,C,D,E"</x:formula1>
    </x:dataValidation>
    <x:dataValidation type="list" sqref="C218:H218">
      <x:formula1>"A,B,C,D"</x:formula1>
    </x:dataValidation>
    <x:dataValidation type="list" sqref="C233:H233">
      <x:formula1>"A,B,C,D,E"</x:formula1>
    </x:dataValidation>
    <x:dataValidation type="list" sqref="C248:H248">
      <x:formula1>"A,B,C,D,E"</x:formula1>
    </x:dataValidation>
    <x:dataValidation type="list" sqref="C261:H261">
      <x:formula1>"A,B,C"</x:formula1>
    </x:dataValidation>
    <x:dataValidation type="list" sqref="C274:H274">
      <x:formula1>"A,B,C"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6" hidden="0" customWidth="1"/>
    <x:col min="10" max="10" width="42" hidden="0" customWidth="1"/>
  </x:cols>
  <x:sheetData>
    <x:row r="1" ht="15" hidden="0" customHeight="1">
      <x:c r="A1" s="307" t="str">
        <x:v>№</x:v>
      </x:c>
      <x:c r="B1" s="307" t="str">
        <x:v>Вопрос</x:v>
      </x:c>
      <x:c r="C1" s="307" t="str">
        <x:v>A</x:v>
      </x:c>
      <x:c r="D1" s="307" t="str">
        <x:v>B</x:v>
      </x:c>
      <x:c r="E1" s="307" t="str">
        <x:v>C</x:v>
      </x:c>
      <x:c r="F1" s="307" t="str">
        <x:v>D</x:v>
      </x:c>
      <x:c r="G1" s="307" t="str">
        <x:v>E</x:v>
      </x:c>
      <x:c r="H1" s="307" t="str">
        <x:v>F</x:v>
      </x:c>
      <x:c r="I1" s="307" t="str">
        <x:v>Правильный вариант</x:v>
      </x:c>
      <x:c r="J1" s="307" t="str">
        <x:v>Правильный ответ</x:v>
      </x:c>
    </x:row>
    <x:row r="2" ht="118.80000305175781" hidden="0" customHeight="1">
      <x:c r="A2" s="309" t="n">
        <x:v>1</x:v>
      </x:c>
      <x:c r="B2" s="309" t="str">
        <x:v>Дайте определение понятию «фонтаноопасность» залежи.</x:v>
      </x:c>
      <x:c r="C2" s="309" t="str">
        <x:v>Потенциальная возможность создать при ее разбуривании условия неуправляемого поступления флюида в ствол скважины, интенсивного развития ГНВП с последующим переходом его в открытое фонтанирование и оказывать воздействие на окружающую среду при возникновении фонтана.</x:v>
      </x:c>
      <x:c r="D2" s="309" t="str">
        <x:v>Потенциальная возможность создать при ее разбуривании условия поступления флюида в ствол скважины, интенсивного развития ГНВП с последующим переходом его в открытое фонтанирование.</x:v>
      </x:c>
      <x:c r="E2" s="309" t="str"/>
      <x:c r="F2" s="309" t="str"/>
      <x:c r="G2" s="309" t="str"/>
      <x:c r="H2" s="309" t="str"/>
      <x:c r="I2" s="311" t="str">
        <x:v>A</x:v>
      </x:c>
      <x:c r="J2" s="311" t="str">
        <x:v>Потенциальная возможность создать при ее разбуривании условия неуправляемого поступления флюида в ствол скважины, интенсивного развития ГНВП с последующим переходом его в открытое фонтанирование и оказывать воздействие на окружающую среду при возникновении фонтана.</x:v>
      </x:c>
    </x:row>
    <x:row r="3" ht="79.19999694824219" hidden="0" customHeight="1">
      <x:c r="A3" s="309" t="n">
        <x:v>2</x:v>
      </x:c>
      <x:c r="B3" s="309" t="str">
        <x:v>Дайте определение понятию «открытое фонтанирование».</x:v>
      </x:c>
      <x:c r="C3" s="309" t="str">
        <x:v>Истечение пластовых флюидов через устье скважины в результате отсутствия, разрушения или негерметичности запорного оборудования или вследствие грифонообразования.</x:v>
      </x:c>
      <x:c r="D3" s="309" t="str">
        <x:v>Неуправляемое истечение пластовых флюидов через устье скважины в результате отсутствия, разрушения или негерметичности запорного оборудования или вследствие грифонообразования.</x:v>
      </x:c>
      <x:c r="E3" s="309" t="str">
        <x:v>Неуправляемое истечение пластовых флюидов через устье скважины в результате отсутствия, разрушения или негерметичности запорного оборудования.</x:v>
      </x:c>
      <x:c r="F3" s="309" t="str"/>
      <x:c r="G3" s="309" t="str"/>
      <x:c r="H3" s="309" t="str"/>
      <x:c r="I3" s="311" t="str">
        <x:v>B</x:v>
      </x:c>
      <x:c r="J3" s="311" t="str">
        <x:v>Неуправляемое истечение пластовых флюидов через устье скважины в результате отсутствия, разрушения или негерметичности запорного оборудования или вследствие грифонообразования.</x:v>
      </x:c>
    </x:row>
    <x:row r="4" ht="26.399999618530273" hidden="0" customHeight="1">
      <x:c r="A4" s="309" t="n">
        <x:v>3</x:v>
      </x:c>
      <x:c r="B4" s="309" t="str">
        <x:v>Какое условие должно соблюдаться для гидродинамического давления при спуске колонны труб?</x:v>
      </x:c>
      <x:c r="C4" s="309" t="str">
        <x:v>ΔP ≤ 0,75·(Ргрп - ρ·g·H)</x:v>
      </x:c>
      <x:c r="D4" s="309" t="str">
        <x:v>ΔP ≥ 0,75·(Ргрп - ρ·g·H)</x:v>
      </x:c>
      <x:c r="E4" s="309" t="str">
        <x:v>ΔP ≤ 0,75·(ρ·g·H - Рпл)</x:v>
      </x:c>
      <x:c r="F4" s="309" t="str"/>
      <x:c r="G4" s="309" t="str"/>
      <x:c r="H4" s="309" t="str"/>
      <x:c r="I4" s="311" t="str">
        <x:v>A</x:v>
      </x:c>
      <x:c r="J4" s="311" t="str">
        <x:v>ΔP ≤ 0,75·(Ргрп - ρ·g·H)</x:v>
      </x:c>
    </x:row>
    <x:row r="5" ht="26.399999618530273" hidden="0" customHeight="1">
      <x:c r="A5" s="309" t="n">
        <x:v>4</x:v>
      </x:c>
      <x:c r="B5" s="309" t="str">
        <x:v>Главное условие возникновения газопроявления при бурении или ремонте скважин:</x:v>
      </x:c>
      <x:c r="C5" s="309" t="str">
        <x:v>Пластовое давление больше забойного.</x:v>
      </x:c>
      <x:c r="D5" s="309" t="str">
        <x:v>Забойное давление больше пластового.</x:v>
      </x:c>
      <x:c r="E5" s="309" t="str">
        <x:v>Забойное давление равно пластовому.</x:v>
      </x:c>
      <x:c r="F5" s="309" t="str"/>
      <x:c r="G5" s="309" t="str"/>
      <x:c r="H5" s="309" t="str"/>
      <x:c r="I5" s="311" t="str">
        <x:v>A</x:v>
      </x:c>
      <x:c r="J5" s="311" t="str">
        <x:v>Пластовое давление больше забойного.</x:v>
      </x:c>
    </x:row>
    <x:row r="6" ht="66" hidden="0" customHeight="1">
      <x:c r="A6" s="309" t="n">
        <x:v>5</x:v>
      </x:c>
      <x:c r="B6" s="309" t="str">
        <x:v>Каковы первоочередные действия бурильщика при обнаружении признаков поступления пластового флюида в скважину (перелив бурового раствора, увеличение его объема в емкостях, несоответствие расчетного и фактического объемов доливаемого (вытесняемого) раствора при СПО)?</x:v>
      </x:c>
      <x:c r="C6" s="309" t="str">
        <x:v>Подача сигнала «Выброс».</x:v>
      </x:c>
      <x:c r="D6" s="309" t="str">
        <x:v>Увеличение производительности бурового насоса для вымыва газовой пачки.</x:v>
      </x:c>
      <x:c r="E6" s="309" t="str">
        <x:v>Увеличение плотности бурового раствора.</x:v>
      </x:c>
      <x:c r="F6" s="309" t="str"/>
      <x:c r="G6" s="309" t="str"/>
      <x:c r="H6" s="309" t="str"/>
      <x:c r="I6" s="311" t="str">
        <x:v>A</x:v>
      </x:c>
      <x:c r="J6" s="311" t="str">
        <x:v>Подача сигнала «Выброс».</x:v>
      </x:c>
    </x:row>
    <x:row r="7" ht="39.599998474121094" hidden="0" customHeight="1">
      <x:c r="A7" s="309" t="n">
        <x:v>6</x:v>
      </x:c>
      <x:c r="B7" s="309" t="str">
        <x:v>Укажите режим работы нефтяной (газонефтяной) залежи, при котором основным видом энергии, продвигающей флюиды по пласту, является напор пластовых вод.</x:v>
      </x:c>
      <x:c r="C7" s="309" t="str">
        <x:v>Жесткий водонапорный режим.</x:v>
      </x:c>
      <x:c r="D7" s="309" t="str">
        <x:v>Упруго-водонапорный режим.</x:v>
      </x:c>
      <x:c r="E7" s="309" t="str">
        <x:v>Режим газовой шапки.</x:v>
      </x:c>
      <x:c r="F7" s="309" t="str">
        <x:v>Режим растворенного газа.</x:v>
      </x:c>
      <x:c r="G7" s="309" t="str">
        <x:v>Упругий режим.</x:v>
      </x:c>
      <x:c r="H7" s="309" t="str">
        <x:v>Гравитационный режим.</x:v>
      </x:c>
      <x:c r="I7" s="311" t="str">
        <x:v>A</x:v>
      </x:c>
      <x:c r="J7" s="311" t="str">
        <x:v>Жесткий водонапорный режим.</x:v>
      </x:c>
    </x:row>
    <x:row r="8" ht="52.79999923706055" hidden="0" customHeight="1">
      <x:c r="A8" s="309" t="n">
        <x:v>7</x:v>
      </x:c>
      <x:c r="B8" s="309" t="str">
        <x:v>Укажите режим работы нефтяной (газонефтяной) залежи, при котором основным видом энергии, продвигающей флюиды по пласту, является упругость жидкости, газа и породы, а также поступающих в залежь пластовых вод.</x:v>
      </x:c>
      <x:c r="C8" s="309" t="str">
        <x:v>Жесткий водонапорный режим.</x:v>
      </x:c>
      <x:c r="D8" s="309" t="str">
        <x:v>Упруго-водонапорный режим.</x:v>
      </x:c>
      <x:c r="E8" s="309" t="str">
        <x:v>Режим газовой шапки.</x:v>
      </x:c>
      <x:c r="F8" s="309" t="str">
        <x:v>Режим растворенного газа.</x:v>
      </x:c>
      <x:c r="G8" s="309" t="str">
        <x:v>Упругий режим.</x:v>
      </x:c>
      <x:c r="H8" s="309" t="str">
        <x:v>Гравитационный режим.</x:v>
      </x:c>
      <x:c r="I8" s="311" t="str">
        <x:v>B</x:v>
      </x:c>
      <x:c r="J8" s="311" t="str">
        <x:v>Упруго-водонапорный режим.</x:v>
      </x:c>
    </x:row>
    <x:row r="9" ht="52.79999923706055" hidden="0" customHeight="1">
      <x:c r="A9" s="309" t="n">
        <x:v>8</x:v>
      </x:c>
      <x:c r="B9" s="309" t="str">
        <x:v>Укажите режим работы газовой (газоконденсатной) залежи, при котором основным видом энергии, продвигающей флюиды по пласту, является напор расширяющегося газа, подошвенных и законтурных вод.</x:v>
      </x:c>
      <x:c r="C9" s="309" t="str">
        <x:v>Газоводонапорный режим.</x:v>
      </x:c>
      <x:c r="D9" s="309" t="str">
        <x:v>Режим газовой шапки.</x:v>
      </x:c>
      <x:c r="E9" s="309" t="str">
        <x:v>Режим растворенного газа.</x:v>
      </x:c>
      <x:c r="F9" s="309" t="str">
        <x:v>Упругий режим.</x:v>
      </x:c>
      <x:c r="G9" s="309" t="str">
        <x:v>Гравитационный режим.</x:v>
      </x:c>
      <x:c r="H9" s="309" t="str"/>
      <x:c r="I9" s="311" t="str">
        <x:v>A</x:v>
      </x:c>
      <x:c r="J9" s="311" t="str">
        <x:v>Газоводонапорный режим.</x:v>
      </x:c>
    </x:row>
    <x:row r="10" ht="26.399999618530273" hidden="0" customHeight="1">
      <x:c r="A10" s="309" t="n">
        <x:v>9</x:v>
      </x:c>
      <x:c r="B10" s="309" t="str">
        <x:v>Укажите наиболее вероятную причину появления межколонных газопроявлений (МКД) в скважинах из перечисленных.</x:v>
      </x:c>
      <x:c r="C10" s="309" t="str">
        <x:v>Общее старение фонда скважин.</x:v>
      </x:c>
      <x:c r="D10" s="309" t="str">
        <x:v>Разрушение призабойной зоны пласта.</x:v>
      </x:c>
      <x:c r="E10" s="309" t="str">
        <x:v>Негерметичный контакт между цементным камнем и породой.</x:v>
      </x:c>
      <x:c r="F10" s="309" t="str"/>
      <x:c r="G10" s="309" t="str"/>
      <x:c r="H10" s="309" t="str"/>
      <x:c r="I10" s="311" t="str">
        <x:v>C</x:v>
      </x:c>
      <x:c r="J10" s="311" t="str">
        <x:v>Негерметичный контакт между цементным камнем и породой.</x:v>
      </x:c>
    </x:row>
    <x:row r="11" ht="66" hidden="0" customHeight="1">
      <x:c r="A11" s="309" t="n">
        <x:v>10</x:v>
      </x:c>
      <x:c r="B11" s="309" t="str">
        <x:v>Укажите назначение направления.</x:v>
      </x:c>
      <x:c r="C11" s="309" t="str">
        <x:v>Перекрытие верхних интервалов неустойчивых отложений, предохранение устья скважины от размывания, установки ПВО.</x:v>
      </x:c>
      <x:c r="D11" s="309" t="str">
        <x:v>Перекрытие верхних интервалов неустойчивых отложений, предохранение устья скважины от размывания, установки и в дальнейшем колонной головки.</x:v>
      </x:c>
      <x:c r="E11" s="309" t="str">
        <x:v>Перекрытие верхних интервалов неустойчивых отложений, предохранение устья скважины от размывания, установка КГ, а в дальнейшем ФА.</x:v>
      </x:c>
      <x:c r="F11" s="309" t="str">
        <x:v>Перекрытие верхних интервалов неустойчивых отложений, предохранение устья скважины от размывания.</x:v>
      </x:c>
      <x:c r="G11" s="309" t="str"/>
      <x:c r="H11" s="309" t="str"/>
      <x:c r="I11" s="311" t="str">
        <x:v>D</x:v>
      </x:c>
      <x:c r="J11" s="311" t="str">
        <x:v>Перекрытие верхних интервалов неустойчивых отложений, предохранение устья скважины от размывания.</x:v>
      </x:c>
    </x:row>
    <x:row r="12" ht="39.599998474121094" hidden="0" customHeight="1">
      <x:c r="A12" s="309" t="n">
        <x:v>11</x:v>
      </x:c>
      <x:c r="B12" s="309" t="str">
        <x:v>Укажите режим работы нефтяной (газонефтяной) залежи, при котором основным видом энергии, продвигающей флюид по пласту, является энергия сжимаемости пород.</x:v>
      </x:c>
      <x:c r="C12" s="309" t="str">
        <x:v>Жесткий водонапорный режим.</x:v>
      </x:c>
      <x:c r="D12" s="309" t="str">
        <x:v>Упруго-водонапорный режим.</x:v>
      </x:c>
      <x:c r="E12" s="309" t="str">
        <x:v>Газонапорный режим.</x:v>
      </x:c>
      <x:c r="F12" s="309" t="str">
        <x:v>Режим растворенного газа.</x:v>
      </x:c>
      <x:c r="G12" s="309" t="str">
        <x:v>Упругий режим.</x:v>
      </x:c>
      <x:c r="H12" s="309" t="str">
        <x:v>Гравитационный режим.</x:v>
      </x:c>
      <x:c r="I12" s="311" t="str">
        <x:v>E</x:v>
      </x:c>
      <x:c r="J12" s="311" t="str">
        <x:v>Упругий режим.</x:v>
      </x:c>
    </x:row>
    <x:row r="13" ht="79.19999694824219" hidden="0" customHeight="1">
      <x:c r="A13" s="309" t="n">
        <x:v>12</x:v>
      </x:c>
      <x:c r="B13" s="309" t="str">
        <x:v>Укажите назначение фонтанной «Ёлки»?</x:v>
      </x:c>
      <x:c r="C13" s="309" t="str">
        <x:v>Регулирование режимов эксплуатации, контроль давления и температуры, направление потока пластового флюида, проведение технологических операций, проведение ремонта скважины.</x:v>
      </x:c>
      <x:c r="D13" s="309" t="str">
        <x:v>Регулирование режимов эксплуатации, контроль давления и температуры, направление потока пластового флюида, проведение технологических операций, разобщения пластов.</x:v>
      </x:c>
      <x:c r="E13" s="309" t="str">
        <x:v>Регулирование параметров потока скважинной среды в скважинном трубопроводе, а также распределения или смешивания потоков.</x:v>
      </x:c>
      <x:c r="F13" s="309" t="str"/>
      <x:c r="G13" s="309" t="str"/>
      <x:c r="H13" s="309" t="str"/>
      <x:c r="I13" s="311" t="str">
        <x:v>C</x:v>
      </x:c>
      <x:c r="J13" s="311" t="str">
        <x:v>Регулирование параметров потока скважинной среды в скважинном трубопроводе, а также распределения или смешивания потоков.</x:v>
      </x:c>
    </x:row>
    <x:row r="14" ht="26.399999618530273" hidden="0" customHeight="1">
      <x:c r="A14" s="309" t="n">
        <x:v>13</x:v>
      </x:c>
      <x:c r="B14" s="309" t="str">
        <x:v>Какое внутрискважинное оборудование применяют для предупреждения открытого фонтанирования?</x:v>
      </x:c>
      <x:c r="C14" s="309" t="str">
        <x:v>Лифтовая колонна НКТ.</x:v>
      </x:c>
      <x:c r="D14" s="309" t="str">
        <x:v>Клапан-отсекатель.</x:v>
      </x:c>
      <x:c r="E14" s="309" t="str">
        <x:v>Пакер.</x:v>
      </x:c>
      <x:c r="F14" s="309" t="str">
        <x:v>Циркуляционный клапан.</x:v>
      </x:c>
      <x:c r="G14" s="309" t="str"/>
      <x:c r="H14" s="309" t="str"/>
      <x:c r="I14" s="311" t="str">
        <x:v>B</x:v>
      </x:c>
      <x:c r="J14" s="311" t="str">
        <x:v>Клапан-отсекатель.</x:v>
      </x:c>
    </x:row>
    <x:row r="15" ht="26.399999618530273" hidden="0" customHeight="1">
      <x:c r="A15" s="309" t="n">
        <x:v>14</x:v>
      </x:c>
      <x:c r="B15" s="309" t="str">
        <x:v>Какая из нижеперечисленных величин является нормальным пластовым градиентом?</x:v>
      </x:c>
      <x:c r="C15" s="309" t="str">
        <x:v>0,230 атм/м</x:v>
      </x:c>
      <x:c r="D15" s="309" t="str">
        <x:v>0,150 атм/м</x:v>
      </x:c>
      <x:c r="E15" s="309" t="str">
        <x:v>1,050 атм/м</x:v>
      </x:c>
      <x:c r="F15" s="309" t="str">
        <x:v>0,104 атм/м</x:v>
      </x:c>
      <x:c r="G15" s="309" t="str"/>
      <x:c r="H15" s="309" t="str"/>
      <x:c r="I15" s="311" t="str">
        <x:v>D</x:v>
      </x:c>
      <x:c r="J15" s="311" t="str">
        <x:v>0,104 атм/м</x:v>
      </x:c>
    </x:row>
    <x:row r="16" ht="26.399999618530273" hidden="0" customHeight="1">
      <x:c r="A16" s="309" t="n">
        <x:v>15</x:v>
      </x:c>
      <x:c r="B16" s="309" t="str">
        <x:v>Аномально высокое давление (АВПД) вызывается главным образом:</x:v>
      </x:c>
      <x:c r="C16" s="309" t="str">
        <x:v>Мощными толщами глин.</x:v>
      </x:c>
      <x:c r="D16" s="309" t="str">
        <x:v>Низкой плотностью бурового раствора.</x:v>
      </x:c>
      <x:c r="E16" s="309" t="str">
        <x:v>Давлением на пластовый флюид со стороны вышележащих горных пород.</x:v>
      </x:c>
      <x:c r="F16" s="309" t="str">
        <x:v>Солями и ангидритами.</x:v>
      </x:c>
      <x:c r="G16" s="309" t="str"/>
      <x:c r="H16" s="309" t="str"/>
      <x:c r="I16" s="311" t="str">
        <x:v>A</x:v>
      </x:c>
      <x:c r="J16" s="311" t="str">
        <x:v>Мощными толщами глин.</x:v>
      </x:c>
    </x:row>
    <x:row r="17" ht="39.599998474121094" hidden="0" customHeight="1">
      <x:c r="A17" s="309" t="n">
        <x:v>16</x:v>
      </x:c>
      <x:c r="B17" s="309" t="str">
        <x:v>Чем определяется аномально высокое давление (АВПД)?</x:v>
      </x:c>
      <x:c r="C17" s="309" t="str">
        <x:v>Давлением вышележащих пластов.</x:v>
      </x:c>
      <x:c r="D17" s="309" t="str">
        <x:v>Градиентом равным 0,104 атм/м.</x:v>
      </x:c>
      <x:c r="E17" s="309" t="str">
        <x:v>Превышением пластового давления над давлением столба пресной воды на этой же глубине свыше 30%.</x:v>
      </x:c>
      <x:c r="F17" s="309" t="str">
        <x:v>Величиной пористости горных пород.</x:v>
      </x:c>
      <x:c r="G17" s="309" t="str"/>
      <x:c r="H17" s="309" t="str"/>
      <x:c r="I17" s="311" t="str">
        <x:v>C</x:v>
      </x:c>
      <x:c r="J17" s="311" t="str">
        <x:v>Превышением пластового давления над давлением столба пресной воды на этой же глубине свыше 30%.</x:v>
      </x:c>
    </x:row>
    <x:row r="18" ht="39.599998474121094" hidden="0" customHeight="1">
      <x:c r="A18" s="309" t="n">
        <x:v>17</x:v>
      </x:c>
      <x:c r="B18" s="309" t="str">
        <x:v>Пластовое давление на вертикальной глубине 4500 м составляет 495 атм. Нормальный градиент пластового давления 0,103 атм/м. В каком состоянии находится пласт?</x:v>
      </x:c>
      <x:c r="C18" s="309" t="str">
        <x:v>При пониженном давлении.</x:v>
      </x:c>
      <x:c r="D18" s="309" t="str">
        <x:v>При нормальном давлении.</x:v>
      </x:c>
      <x:c r="E18" s="309" t="str">
        <x:v>При повышенном давлении.</x:v>
      </x:c>
      <x:c r="F18" s="309" t="str"/>
      <x:c r="G18" s="309" t="str"/>
      <x:c r="H18" s="309" t="str"/>
      <x:c r="I18" s="311" t="str">
        <x:v>C</x:v>
      </x:c>
      <x:c r="J18" s="311" t="str">
        <x:v>При повышенном давлении.</x:v>
      </x:c>
    </x:row>
    <x:row r="19" ht="26.399999618530273" hidden="0" customHeight="1">
      <x:c r="A19" s="309" t="n">
        <x:v>18</x:v>
      </x:c>
      <x:c r="B19" s="309" t="str">
        <x:v>Существует ли прямая зависимость величины проницаемости горной породы от её пористости?</x:v>
      </x:c>
      <x:c r="C19" s="309" t="str">
        <x:v>Существует.</x:v>
      </x:c>
      <x:c r="D19" s="309" t="str">
        <x:v>Не существует.</x:v>
      </x:c>
      <x:c r="E19" s="309" t="str"/>
      <x:c r="F19" s="309" t="str"/>
      <x:c r="G19" s="309" t="str"/>
      <x:c r="H19" s="309" t="str"/>
      <x:c r="I19" s="311" t="str">
        <x:v>B</x:v>
      </x:c>
      <x:c r="J19" s="311" t="str">
        <x:v>Не существует.</x:v>
      </x:c>
    </x:row>
    <x:row r="20" ht="52.79999923706055" hidden="0" customHeight="1">
      <x:c r="A20" s="309" t="n">
        <x:v>19</x:v>
      </x:c>
      <x:c r="B20" s="309" t="str">
        <x:v>В скважину, наполненную буровым раствором на нефтяной основе, поступило из пласта 2 м³ газа. Какие из ниже перечисленных утверждений верны?</x:v>
      </x:c>
      <x:c r="C20" s="309" t="str">
        <x:v>Уровень в приемных емкостях быстро повысится.</x:v>
      </x:c>
      <x:c r="D20" s="309" t="str">
        <x:v>В большинстве случаев газ растворяется в растворах на нефтяной основе, поэтому быстрого повышения уровня не наблюдается.</x:v>
      </x:c>
      <x:c r="E20" s="309" t="str">
        <x:v>Никаких признаков поступления газа наблюдаться не будет.</x:v>
      </x:c>
      <x:c r="F20" s="309" t="str"/>
      <x:c r="G20" s="309" t="str"/>
      <x:c r="H20" s="309" t="str"/>
      <x:c r="I20" s="311" t="str">
        <x:v>B</x:v>
      </x:c>
      <x:c r="J20" s="311" t="str">
        <x:v>В большинстве случаев газ растворяется в растворах на нефтяной основе, поэтому быстрого повышения уровня не наблюдается.</x:v>
      </x:c>
    </x:row>
    <x:row r="21" ht="26.399999618530273" hidden="0" customHeight="1">
      <x:c r="A21" s="309" t="n">
        <x:v>20</x:v>
      </x:c>
      <x:c r="B21" s="309" t="str">
        <x:v>Укажите предельно допустимую «разовую» концентрацию (ПДК) метана для производственных помещений и зон:</x:v>
      </x:c>
      <x:c r="C21" s="309" t="str">
        <x:v>100 мг/м³</x:v>
      </x:c>
      <x:c r="D21" s="309" t="str">
        <x:v>200 мг/м³</x:v>
      </x:c>
      <x:c r="E21" s="309" t="str">
        <x:v>300 мг/м³</x:v>
      </x:c>
      <x:c r="F21" s="309" t="str">
        <x:v>7000 мг/м³</x:v>
      </x:c>
      <x:c r="G21" s="309" t="str"/>
      <x:c r="H21" s="309" t="str"/>
      <x:c r="I21" s="311" t="str">
        <x:v>D</x:v>
      </x:c>
      <x:c r="J21" s="311" t="str">
        <x:v>7000 мг/м³</x:v>
      </x:c>
    </x:row>
    <x:row r="22" ht="26.399999618530273" hidden="0" customHeight="1">
      <x:c r="A22" s="309" t="n">
        <x:v>21</x:v>
      </x:c>
      <x:c r="B22" s="309" t="str">
        <x:v>Укажите предельно допустимую «разовую» концентрацию (ПДК) чистого сероводорода для производственных помещений и зон:</x:v>
      </x:c>
      <x:c r="C22" s="309" t="str">
        <x:v>10 мг/м³</x:v>
      </x:c>
      <x:c r="D22" s="309" t="str">
        <x:v>20 мг/м³</x:v>
      </x:c>
      <x:c r="E22" s="309" t="str">
        <x:v>30 мг/м³</x:v>
      </x:c>
      <x:c r="F22" s="309" t="str"/>
      <x:c r="G22" s="309" t="str"/>
      <x:c r="H22" s="309" t="str"/>
      <x:c r="I22" s="311" t="str">
        <x:v>A</x:v>
      </x:c>
      <x:c r="J22" s="311" t="str">
        <x:v>10 мг/м³</x:v>
      </x:c>
    </x:row>
    <x:row r="23" ht="39.599998474121094" hidden="0" customHeight="1">
      <x:c r="A23" s="309" t="n">
        <x:v>22</x:v>
      </x:c>
      <x:c r="B23" s="309" t="str">
        <x:v>Укажите предельно допустимую «разовую» концентрацию (ПДК) сероводорода с примесями углеводородов для производственных помещений и зон:</x:v>
      </x:c>
      <x:c r="C23" s="309" t="str">
        <x:v>2 мг/м³</x:v>
      </x:c>
      <x:c r="D23" s="309" t="str">
        <x:v>3 мг/м³</x:v>
      </x:c>
      <x:c r="E23" s="309" t="str">
        <x:v>5 мг/м³</x:v>
      </x:c>
      <x:c r="F23" s="309" t="str"/>
      <x:c r="G23" s="309" t="str"/>
      <x:c r="H23" s="309" t="str"/>
      <x:c r="I23" s="311" t="str">
        <x:v>B</x:v>
      </x:c>
      <x:c r="J23" s="311" t="str">
        <x:v>3 мг/м³</x:v>
      </x:c>
    </x:row>
    <x:row r="24" ht="26.399999618530273" hidden="0" customHeight="1">
      <x:c r="A24" s="309" t="n">
        <x:v>23</x:v>
      </x:c>
      <x:c r="B24" s="309" t="str">
        <x:v>Укажите предельно допустимую «разовую» концентрацию (ПДК) сернистого ангидрида для производственных помещений и зон:</x:v>
      </x:c>
      <x:c r="C24" s="309" t="str">
        <x:v>10 мг/м³</x:v>
      </x:c>
      <x:c r="D24" s="309" t="str">
        <x:v>20 мг/м³</x:v>
      </x:c>
      <x:c r="E24" s="309" t="str">
        <x:v>30 мг/м³</x:v>
      </x:c>
      <x:c r="F24" s="309" t="str"/>
      <x:c r="G24" s="309" t="str"/>
      <x:c r="H24" s="309" t="str"/>
      <x:c r="I24" s="311" t="str">
        <x:v>A</x:v>
      </x:c>
      <x:c r="J24" s="311" t="str">
        <x:v>10 мг/м³</x:v>
      </x:c>
    </x:row>
    <x:row r="25" ht="26.399999618530273" hidden="0" customHeight="1">
      <x:c r="A25" s="309" t="n">
        <x:v>24</x:v>
      </x:c>
      <x:c r="B25" s="309" t="str">
        <x:v>Укажите предельно допустимую «разовую» концентрацию (ПДК) паров метанола для производственных помещений и зон:</x:v>
      </x:c>
      <x:c r="C25" s="309" t="str">
        <x:v>5 мг/м³</x:v>
      </x:c>
      <x:c r="D25" s="309" t="str">
        <x:v>10 мг/м³</x:v>
      </x:c>
      <x:c r="E25" s="309" t="str">
        <x:v>15 мг/м³</x:v>
      </x:c>
      <x:c r="F25" s="309" t="str"/>
      <x:c r="G25" s="309" t="str"/>
      <x:c r="H25" s="309" t="str"/>
      <x:c r="I25" s="311" t="str">
        <x:v>A</x:v>
      </x:c>
      <x:c r="J25" s="311" t="str">
        <x:v>5 мг/м³</x:v>
      </x:c>
    </x:row>
    <x:row r="26" ht="26.399999618530273" hidden="0" customHeight="1">
      <x:c r="A26" s="309" t="n">
        <x:v>25</x:v>
      </x:c>
      <x:c r="B26" s="309" t="str">
        <x:v>Укажите концентрационные пределы распространения пламени метана в объемных долях:</x:v>
      </x:c>
      <x:c r="C26" s="309" t="str">
        <x:v>3–16 %</x:v>
      </x:c>
      <x:c r="D26" s="309" t="str">
        <x:v>4,4–17 %</x:v>
      </x:c>
      <x:c r="E26" s="309" t="str">
        <x:v>10–25 %</x:v>
      </x:c>
      <x:c r="F26" s="309" t="str"/>
      <x:c r="G26" s="309" t="str"/>
      <x:c r="H26" s="309" t="str"/>
      <x:c r="I26" s="311" t="str">
        <x:v>B</x:v>
      </x:c>
      <x:c r="J26" s="311" t="str">
        <x:v>4,4–17 %</x:v>
      </x:c>
    </x:row>
    <x:row r="27" ht="26.399999618530273" hidden="0" customHeight="1">
      <x:c r="A27" s="309" t="n">
        <x:v>26</x:v>
      </x:c>
      <x:c r="B27" s="309" t="str">
        <x:v>Укажите концентрационные пределы распространения пламени сероводорода в объемных долях:</x:v>
      </x:c>
      <x:c r="C27" s="309" t="str">
        <x:v>4,0–45,5 %</x:v>
      </x:c>
      <x:c r="D27" s="309" t="str">
        <x:v>5,5–32,4 %</x:v>
      </x:c>
      <x:c r="E27" s="309" t="str">
        <x:v>6,9–28,9 %</x:v>
      </x:c>
      <x:c r="F27" s="309" t="str"/>
      <x:c r="G27" s="309" t="str"/>
      <x:c r="H27" s="309" t="str"/>
      <x:c r="I27" s="311" t="str">
        <x:v>A</x:v>
      </x:c>
      <x:c r="J27" s="311" t="str">
        <x:v>4,0–45,5 %</x:v>
      </x:c>
    </x:row>
    <x:row r="28" ht="26.399999618530273" hidden="0" customHeight="1">
      <x:c r="A28" s="309" t="n">
        <x:v>27</x:v>
      </x:c>
      <x:c r="B28" s="309" t="str">
        <x:v>Укажите концентрационные пределы распространения пламени паров метанола в объемных долях:</x:v>
      </x:c>
      <x:c r="C28" s="309" t="str">
        <x:v>5–15 %</x:v>
      </x:c>
      <x:c r="D28" s="309" t="str">
        <x:v>6–24 %</x:v>
      </x:c>
      <x:c r="E28" s="309" t="str">
        <x:v>5,5–36 %</x:v>
      </x:c>
      <x:c r="F28" s="309" t="str"/>
      <x:c r="G28" s="309" t="str"/>
      <x:c r="H28" s="309" t="str"/>
      <x:c r="I28" s="311" t="str">
        <x:v>C</x:v>
      </x:c>
      <x:c r="J28" s="311" t="str">
        <x:v>5,5–36 %</x:v>
      </x:c>
    </x:row>
    <x:row r="29" ht="66" hidden="0" customHeight="1">
      <x:c r="A29" s="309" t="n">
        <x:v>28</x:v>
      </x:c>
      <x:c r="B29" s="309" t="str">
        <x:v>Укажите тип скважин, предназначенных для изучения геологического строения и гидрогеологических условий залегания пород и выявления закономерностей распространения комплексов отложений, благоприятных для нефтегазонакопления:</x:v>
      </x:c>
      <x:c r="C29" s="309" t="str">
        <x:v>Опорные.</x:v>
      </x:c>
      <x:c r="D29" s="309" t="str">
        <x:v>Структурно-поисковые.</x:v>
      </x:c>
      <x:c r="E29" s="309" t="str">
        <x:v>Разведочные.</x:v>
      </x:c>
      <x:c r="F29" s="309" t="str">
        <x:v>Эксплуатационные.</x:v>
      </x:c>
      <x:c r="G29" s="309" t="str">
        <x:v>Наблюдательные.</x:v>
      </x:c>
      <x:c r="H29" s="309" t="str"/>
      <x:c r="I29" s="311" t="str">
        <x:v>A</x:v>
      </x:c>
      <x:c r="J29" s="311" t="str">
        <x:v>Опорные.</x:v>
      </x:c>
    </x:row>
    <x:row r="30" ht="39.599998474121094" hidden="0" customHeight="1">
      <x:c r="A30" s="309" t="n">
        <x:v>29</x:v>
      </x:c>
      <x:c r="B30" s="309" t="str">
        <x:v>Определите тип скважин, предназначенных для изучения сведений о геологическом строении, испытания скважин и оценки продуктивности пластов:</x:v>
      </x:c>
      <x:c r="C30" s="309" t="str">
        <x:v>Опорные.</x:v>
      </x:c>
      <x:c r="D30" s="309" t="str">
        <x:v>Структурно-поисковые.</x:v>
      </x:c>
      <x:c r="E30" s="309" t="str">
        <x:v>Разведочные.</x:v>
      </x:c>
      <x:c r="F30" s="309" t="str">
        <x:v>Эксплуатационные.</x:v>
      </x:c>
      <x:c r="G30" s="309" t="str">
        <x:v>Наблюдательные.</x:v>
      </x:c>
      <x:c r="H30" s="309" t="str"/>
      <x:c r="I30" s="311" t="str">
        <x:v>B</x:v>
      </x:c>
      <x:c r="J30" s="311" t="str">
        <x:v>Структурно-поисковые.</x:v>
      </x:c>
    </x:row>
    <x:row r="31" ht="39.599998474121094" hidden="0" customHeight="1">
      <x:c r="A31" s="309" t="n">
        <x:v>30</x:v>
      </x:c>
      <x:c r="B31" s="309" t="str">
        <x:v>Определите тип скважин, предназначенных для выявления продуктивных объектов, оконтуривания месторождений и оценки промышленных запасов:</x:v>
      </x:c>
      <x:c r="C31" s="309" t="str">
        <x:v>Наблюдательные.</x:v>
      </x:c>
      <x:c r="D31" s="309" t="str">
        <x:v>Структурно-поисковые.</x:v>
      </x:c>
      <x:c r="E31" s="309" t="str">
        <x:v>Разведочные.</x:v>
      </x:c>
      <x:c r="F31" s="309" t="str">
        <x:v>Опорные.</x:v>
      </x:c>
      <x:c r="G31" s="309" t="str">
        <x:v>Эксплуатационные.</x:v>
      </x:c>
      <x:c r="H31" s="309" t="str"/>
      <x:c r="I31" s="311" t="str">
        <x:v>C</x:v>
      </x:c>
      <x:c r="J31" s="311" t="str">
        <x:v>Разведочные.</x:v>
      </x:c>
    </x:row>
    <x:row r="32" ht="39.599998474121094" hidden="0" customHeight="1">
      <x:c r="A32" s="309" t="n">
        <x:v>31</x:v>
      </x:c>
      <x:c r="B32" s="309" t="str">
        <x:v>Определите тип скважин, предназначенных для добычи пластового флюида, организации системы разработки месторождения:</x:v>
      </x:c>
      <x:c r="C32" s="309" t="str">
        <x:v>Опорные.</x:v>
      </x:c>
      <x:c r="D32" s="309" t="str">
        <x:v>Структурно-поисковые.</x:v>
      </x:c>
      <x:c r="E32" s="309" t="str">
        <x:v>Эксплуатационные.</x:v>
      </x:c>
      <x:c r="F32" s="309" t="str">
        <x:v>Разведочные.</x:v>
      </x:c>
      <x:c r="G32" s="309" t="str">
        <x:v>Наблюдательные.</x:v>
      </x:c>
      <x:c r="H32" s="309" t="str"/>
      <x:c r="I32" s="311" t="str">
        <x:v>C</x:v>
      </x:c>
      <x:c r="J32" s="311" t="str">
        <x:v>Эксплуатационные.</x:v>
      </x:c>
    </x:row>
    <x:row r="33" ht="26.399999618530273" hidden="0" customHeight="1">
      <x:c r="A33" s="309" t="n">
        <x:v>32</x:v>
      </x:c>
      <x:c r="B33" s="309" t="str">
        <x:v>Определите тип скважин, предназначенных для контроля над режимом разработки месторождения:</x:v>
      </x:c>
      <x:c r="C33" s="309" t="str">
        <x:v>Опорные.</x:v>
      </x:c>
      <x:c r="D33" s="309" t="str">
        <x:v>Структурно-поисковые.</x:v>
      </x:c>
      <x:c r="E33" s="309" t="str">
        <x:v>Разведочные.</x:v>
      </x:c>
      <x:c r="F33" s="309" t="str">
        <x:v>Эксплуатационные.</x:v>
      </x:c>
      <x:c r="G33" s="309" t="str">
        <x:v>Наблюдательные.</x:v>
      </x:c>
      <x:c r="H33" s="309" t="str"/>
      <x:c r="I33" s="311" t="str">
        <x:v>E</x:v>
      </x:c>
      <x:c r="J33" s="311" t="str">
        <x:v>Наблюдательные.</x:v>
      </x:c>
    </x:row>
    <x:row r="34" ht="39.599998474121094" hidden="0" customHeight="1">
      <x:c r="A34" s="309" t="n">
        <x:v>33</x:v>
      </x:c>
      <x:c r="B34" s="309" t="str">
        <x:v>Укажите операции, проводимые при капитальном ремонте скважины, основным фактором фонтаноопасности которого является возможность поглощения задавочного раствора:</x:v>
      </x:c>
      <x:c r="C34" s="309" t="str">
        <x:v>Демонтаж (монтаж) фонтанной арматуры и противовыбросового оборудования.</x:v>
      </x:c>
      <x:c r="D34" s="309" t="str">
        <x:v>Опрессовка фонтанной арматуры и противовыбросового оборудования.</x:v>
      </x:c>
      <x:c r="E34" s="309" t="str">
        <x:v>Срыв пакера, извлечение подземного оборудования, прострелочно-взрывные работы.</x:v>
      </x:c>
      <x:c r="F34" s="309" t="str">
        <x:v>Соляно-кислотная и пенная обработки.</x:v>
      </x:c>
      <x:c r="G34" s="309" t="str">
        <x:v>Вызов притока и опробование скважины.</x:v>
      </x:c>
      <x:c r="H34" s="309" t="str"/>
      <x:c r="I34" s="311" t="str">
        <x:v>B</x:v>
      </x:c>
      <x:c r="J34" s="311" t="str">
        <x:v>Опрессовка фонтанной арматуры и противовыбросового оборудования.</x:v>
      </x:c>
    </x:row>
    <x:row r="35" ht="39.599998474121094" hidden="0" customHeight="1">
      <x:c r="A35" s="309" t="n">
        <x:v>34</x:v>
      </x:c>
      <x:c r="B35" s="309" t="str">
        <x:v>Укажите операции, проводимые при капитальном ремонте скважины, основным фактором фонтаноопасности которого является работа с открытым устьем:</x:v>
      </x:c>
      <x:c r="C35" s="309" t="str">
        <x:v>Демонтаж (монтаж) фонтанной арматуры и противовыбросового оборудования.</x:v>
      </x:c>
      <x:c r="D35" s="309" t="str">
        <x:v>Опрессовка фонтанной арматуры и противовыбросового оборудования.</x:v>
      </x:c>
      <x:c r="E35" s="309" t="str">
        <x:v>Срыв пакера, извлечение подземного оборудования, прострелочно-взрывные работы.</x:v>
      </x:c>
      <x:c r="F35" s="309" t="str">
        <x:v>Соляно-кислотная и пенная обработки.</x:v>
      </x:c>
      <x:c r="G35" s="309" t="str">
        <x:v>Вызов притока и опробование скважины.</x:v>
      </x:c>
      <x:c r="H35" s="309" t="str"/>
      <x:c r="I35" s="311" t="str">
        <x:v>A</x:v>
      </x:c>
      <x:c r="J35" s="311" t="str">
        <x:v>Демонтаж (монтаж) фонтанной арматуры и противовыбросового оборудования.</x:v>
      </x:c>
    </x:row>
    <x:row r="36" ht="39.599998474121094" hidden="0" customHeight="1">
      <x:c r="A36" s="309" t="n">
        <x:v>35</x:v>
      </x:c>
      <x:c r="B36" s="309" t="str">
        <x:v>Укажите операции, проводимые при капитальном ремонте скважины, основным фактором фонтаноопасности которого является колебания давления в скважине:</x:v>
      </x:c>
      <x:c r="C36" s="309" t="str">
        <x:v>Демонтаж (монтаж) фонтанной арматуры и противовыбросового оборудования.</x:v>
      </x:c>
      <x:c r="D36" s="309" t="str">
        <x:v>Опрессовка фонтанной арматуры и противовыбросового оборудования.</x:v>
      </x:c>
      <x:c r="E36" s="309" t="str">
        <x:v>Срыв пакера, извлечение подземного оборудования, прострелочно-взрывные работы.</x:v>
      </x:c>
      <x:c r="F36" s="309" t="str">
        <x:v>Соляно-кислотная и пенная обработки.</x:v>
      </x:c>
      <x:c r="G36" s="309" t="str">
        <x:v>Вызов притока и опробование скважины.</x:v>
      </x:c>
      <x:c r="H36" s="309" t="str"/>
      <x:c r="I36" s="311" t="str">
        <x:v>C</x:v>
      </x:c>
      <x:c r="J36" s="311" t="str">
        <x:v>Срыв пакера, извлечение подземного оборудования, прострелочно-взрывные работы.</x:v>
      </x:c>
    </x:row>
    <x:row r="37" ht="52.79999923706055" hidden="0" customHeight="1">
      <x:c r="A37" s="309" t="n">
        <x:v>36</x:v>
      </x:c>
      <x:c r="B37" s="309" t="str">
        <x:v>Укажите операции, проводимые при капитальном ремонте скважины, основным фактором фонтаноопасности которого является снижение давления гидростатического столба жидкости вследствие закачки жидкости пониженной плотности:</x:v>
      </x:c>
      <x:c r="C37" s="309" t="str">
        <x:v>Демонтаж (монтаж) фонтанной арматуры и противовыбросового оборудования.</x:v>
      </x:c>
      <x:c r="D37" s="309" t="str">
        <x:v>Опрессовка фонтанной арматуры и противовыбросового оборудования.</x:v>
      </x:c>
      <x:c r="E37" s="309" t="str">
        <x:v>Срыв пакера, извлечение подземного оборудования, прострелочно-взрывные работы.</x:v>
      </x:c>
      <x:c r="F37" s="309" t="str">
        <x:v>Соляно-кислотная и пенная обработки.</x:v>
      </x:c>
      <x:c r="G37" s="309" t="str"/>
      <x:c r="H37" s="309" t="str"/>
      <x:c r="I37" s="311" t="str">
        <x:v>D</x:v>
      </x:c>
      <x:c r="J37" s="311" t="str">
        <x:v>Соляно-кислотная и пенная обработки.</x:v>
      </x:c>
    </x:row>
    <x:row r="38" ht="39.599998474121094" hidden="0" customHeight="1">
      <x:c r="A38" s="309" t="n">
        <x:v>37</x:v>
      </x:c>
      <x:c r="B38" s="309" t="str">
        <x:v>Как изменяется уровень бурового раствора в скважине при проведении операции по извлечению бурильного инструмента с забоя?</x:v>
      </x:c>
      <x:c r="C38" s="309" t="str">
        <x:v>Увеличивается.</x:v>
      </x:c>
      <x:c r="D38" s="309" t="str">
        <x:v>Уменьшается.</x:v>
      </x:c>
      <x:c r="E38" s="309" t="str">
        <x:v>Остается неизменным.</x:v>
      </x:c>
      <x:c r="F38" s="309" t="str"/>
      <x:c r="G38" s="309" t="str"/>
      <x:c r="H38" s="309" t="str"/>
      <x:c r="I38" s="311" t="str">
        <x:v>B</x:v>
      </x:c>
      <x:c r="J38" s="311" t="str">
        <x:v>Уменьшается.</x:v>
      </x:c>
    </x:row>
    <x:row r="39" ht="39.599998474121094" hidden="0" customHeight="1">
      <x:c r="A39" s="309" t="n">
        <x:v>38</x:v>
      </x:c>
      <x:c r="B39" s="309" t="str">
        <x:v>Как изменяется уровень бурового раствора в скважине при проведении операции по спуску бурильного инструмента на забой?</x:v>
      </x:c>
      <x:c r="C39" s="309" t="str">
        <x:v>Увеличивается.</x:v>
      </x:c>
      <x:c r="D39" s="309" t="str">
        <x:v>Уменьшается.</x:v>
      </x:c>
      <x:c r="E39" s="309" t="str">
        <x:v>Остается неизменным.</x:v>
      </x:c>
      <x:c r="F39" s="309" t="str"/>
      <x:c r="G39" s="309" t="str"/>
      <x:c r="H39" s="309" t="str"/>
      <x:c r="I39" s="311" t="str">
        <x:v>A</x:v>
      </x:c>
      <x:c r="J39" s="311" t="str">
        <x:v>Увеличивается.</x:v>
      </x:c>
    </x:row>
    <x:row r="40" ht="39.599998474121094" hidden="0" customHeight="1">
      <x:c r="A40" s="309" t="n">
        <x:v>39</x:v>
      </x:c>
      <x:c r="B40" s="309" t="str">
        <x:v>Как изменяется абсолютное значение гидродинамического давления на башмаке бурильных труб при движении колонны вверх с увеличением скорости подъема?</x:v>
      </x:c>
      <x:c r="C40" s="309" t="str">
        <x:v>Увеличивается.</x:v>
      </x:c>
      <x:c r="D40" s="309" t="str">
        <x:v>Уменьшается.</x:v>
      </x:c>
      <x:c r="E40" s="309" t="str">
        <x:v>Остается неизменным.</x:v>
      </x:c>
      <x:c r="F40" s="309" t="str"/>
      <x:c r="G40" s="309" t="str"/>
      <x:c r="H40" s="309" t="str"/>
      <x:c r="I40" s="311" t="str">
        <x:v>B</x:v>
      </x:c>
      <x:c r="J40" s="311" t="str">
        <x:v>Уменьшается.</x:v>
      </x:c>
    </x:row>
    <x:row r="41" ht="39.599998474121094" hidden="0" customHeight="1">
      <x:c r="A41" s="309" t="n">
        <x:v>40</x:v>
      </x:c>
      <x:c r="B41" s="309" t="str">
        <x:v>Как изменяется абсолютное значение гидродинамического давления на башмаке бурильных труб при движении колонны вниз с увеличением скорости спуска?</x:v>
      </x:c>
      <x:c r="C41" s="309" t="str">
        <x:v>Увеличивается.</x:v>
      </x:c>
      <x:c r="D41" s="309" t="str">
        <x:v>Уменьшается.</x:v>
      </x:c>
      <x:c r="E41" s="309" t="str">
        <x:v>Остается неизменным.</x:v>
      </x:c>
      <x:c r="F41" s="309" t="str"/>
      <x:c r="G41" s="309" t="str"/>
      <x:c r="H41" s="309" t="str"/>
      <x:c r="I41" s="311" t="str">
        <x:v>A</x:v>
      </x:c>
      <x:c r="J41" s="311" t="str">
        <x:v>Увеличивается.</x:v>
      </x:c>
    </x:row>
    <x:row r="42" ht="66" hidden="0" customHeight="1">
      <x:c r="A42" s="309" t="n">
        <x:v>41</x:v>
      </x:c>
      <x:c r="B42" s="309" t="str">
        <x:v>Бурение скважины ведётся на глубине H = 2600 м, плотность бурового раствора ρ = 1120 кг/м³, давление гидроразрыва пласта Ргрп = 32,5 МПа. Определите величину допустимого гидродинамического давления при спуске бурильного инструмента.</x:v>
      </x:c>
      <x:c r="C42" s="309" t="str">
        <x:v>2,53 МПа</x:v>
      </x:c>
      <x:c r="D42" s="309" t="str">
        <x:v>3,15 МПа</x:v>
      </x:c>
      <x:c r="E42" s="309" t="str">
        <x:v>2,95 МПа</x:v>
      </x:c>
      <x:c r="F42" s="309" t="str"/>
      <x:c r="G42" s="309" t="str"/>
      <x:c r="H42" s="309" t="str"/>
      <x:c r="I42" s="311" t="str">
        <x:v>C</x:v>
      </x:c>
      <x:c r="J42" s="311" t="str">
        <x:v>2,95 МПа</x:v>
      </x:c>
    </x:row>
    <x:row r="43" ht="39.599998474121094" hidden="0" customHeight="1">
      <x:c r="A43" s="309" t="n">
        <x:v>42</x:v>
      </x:c>
      <x:c r="B43" s="309" t="str">
        <x:v>Бурение скважины ведётся на глубине H = 3950 м, плотность бурового раствора 1450 кг/м³, пластовое давление Рпл = 57,0 МПа. Возможен ли приток флюида в скважину?</x:v>
      </x:c>
      <x:c r="C43" s="309" t="str">
        <x:v>Да.</x:v>
      </x:c>
      <x:c r="D43" s="309" t="str">
        <x:v>Нет.</x:v>
      </x:c>
      <x:c r="E43" s="309" t="str"/>
      <x:c r="F43" s="309" t="str"/>
      <x:c r="G43" s="309" t="str"/>
      <x:c r="H43" s="309" t="str"/>
      <x:c r="I43" s="311" t="str">
        <x:v>A</x:v>
      </x:c>
      <x:c r="J43" s="311" t="str">
        <x:v>Да.</x:v>
      </x:c>
    </x:row>
    <x:row r="44" ht="66" hidden="0" customHeight="1">
      <x:c r="A44" s="309" t="n">
        <x:v>43</x:v>
      </x:c>
      <x:c r="B44" s="309" t="str">
        <x:v>Бурение скважины ведётся на глубине H = 2500 м, плотность бурового раствора ρ = 1450 кг/м³, градиент пластового давления Gпл = 0,1395 атм/м. Определите на сколько метров должен упасть уровень раствора в скважине, чтобы при этом началось проявление:</x:v>
      </x:c>
      <x:c r="C44" s="309" t="str">
        <x:v>48,5 м</x:v>
      </x:c>
      <x:c r="D44" s="309" t="str">
        <x:v>16,2 м</x:v>
      </x:c>
      <x:c r="E44" s="309" t="str">
        <x:v>85,0 м</x:v>
      </x:c>
      <x:c r="F44" s="309" t="str"/>
      <x:c r="G44" s="309" t="str"/>
      <x:c r="H44" s="309" t="str"/>
      <x:c r="I44" s="311" t="str">
        <x:v>B</x:v>
      </x:c>
      <x:c r="J44" s="311" t="str">
        <x:v>16,2 м</x:v>
      </x:c>
    </x:row>
    <x:row r="45" ht="39.599998474121094" hidden="0" customHeight="1">
      <x:c r="A45" s="309" t="n">
        <x:v>44</x:v>
      </x:c>
      <x:c r="B45" s="309" t="str">
        <x:v>В каком случае величина забойного давления является наибольшей?</x:v>
      </x:c>
      <x:c r="C45" s="309" t="str">
        <x:v>Плотность раствора ρ=1,2 г/см³, диаметр скважины Æ311,44 мм, глубина H=3048 м.</x:v>
      </x:c>
      <x:c r="D45" s="309" t="str">
        <x:v>Плотность раствора ρ=1,2 г/см³, диаметр скважины Æ215,98 мм, глубина H=3048 м.</x:v>
      </x:c>
      <x:c r="E45" s="309" t="str">
        <x:v>В обоих случаях величина забойного давления на глубине H=3048 м одинакова.</x:v>
      </x:c>
      <x:c r="F45" s="309" t="str">
        <x:v>Недостаточно данных для расчета, чтобы сделать вывод.</x:v>
      </x:c>
      <x:c r="G45" s="309" t="str"/>
      <x:c r="H45" s="309" t="str"/>
      <x:c r="I45" s="311" t="str">
        <x:v>C</x:v>
      </x:c>
      <x:c r="J45" s="311" t="str">
        <x:v>В обоих случаях величина забойного давления на глубине H=3048 м одинакова.</x:v>
      </x:c>
    </x:row>
    <x:row r="46" ht="26.399999618530273" hidden="0" customHeight="1">
      <x:c r="A46" s="309" t="n">
        <x:v>45</x:v>
      </x:c>
      <x:c r="B46" s="309" t="str">
        <x:v>Пластовое давление на вертикальной глубине 1500 м составляет 155 атм. Какова при этом величина градиента давления?</x:v>
      </x:c>
      <x:c r="C46" s="309" t="str">
        <x:v>1,55 атм/м</x:v>
      </x:c>
      <x:c r="D46" s="309" t="str">
        <x:v>0,155 атм/м</x:v>
      </x:c>
      <x:c r="E46" s="309" t="str">
        <x:v>0,103 атм/м</x:v>
      </x:c>
      <x:c r="F46" s="309" t="str"/>
      <x:c r="G46" s="309" t="str"/>
      <x:c r="H46" s="309" t="str"/>
      <x:c r="I46" s="311" t="str">
        <x:v>C</x:v>
      </x:c>
      <x:c r="J46" s="311" t="str">
        <x:v>0,103 атм/м</x:v>
      </x:c>
    </x:row>
    <x:row r="47" ht="26.399999618530273" hidden="0" customHeight="1">
      <x:c r="A47" s="309" t="n">
        <x:v>46</x:v>
      </x:c>
      <x:c r="B47" s="309" t="str">
        <x:v>Преобразуйте плотность бурового раствора ρ = 1,55 г/см³ в градиент давления:</x:v>
      </x:c>
      <x:c r="C47" s="309" t="str">
        <x:v>0,114 атм/м</x:v>
      </x:c>
      <x:c r="D47" s="309" t="str">
        <x:v>0,216 атм/м</x:v>
      </x:c>
      <x:c r="E47" s="309" t="str">
        <x:v>0,150 атм/м</x:v>
      </x:c>
      <x:c r="F47" s="309" t="str"/>
      <x:c r="G47" s="309" t="str"/>
      <x:c r="H47" s="309" t="str"/>
      <x:c r="I47" s="311" t="str">
        <x:v>C</x:v>
      </x:c>
      <x:c r="J47" s="311" t="str">
        <x:v>0,150 атм/м</x:v>
      </x:c>
    </x:row>
    <x:row r="48" ht="26.399999618530273" hidden="0" customHeight="1">
      <x:c r="A48" s="309" t="n">
        <x:v>47</x:v>
      </x:c>
      <x:c r="B48" s="309" t="str">
        <x:v>Преобразуйте градиент пластового давления Gпл = 0,155 атм/м в плотность бурового раствора:</x:v>
      </x:c>
      <x:c r="C48" s="309" t="str">
        <x:v>1,580 г/см³</x:v>
      </x:c>
      <x:c r="D48" s="309" t="str">
        <x:v>1,601 г/см³</x:v>
      </x:c>
      <x:c r="E48" s="309" t="str">
        <x:v>1,747 г/см³</x:v>
      </x:c>
      <x:c r="F48" s="309" t="str"/>
      <x:c r="G48" s="309" t="str"/>
      <x:c r="H48" s="309" t="str"/>
      <x:c r="I48" s="311" t="str">
        <x:v>B</x:v>
      </x:c>
      <x:c r="J48" s="311" t="str">
        <x:v>1,601 г/см³</x:v>
      </x:c>
    </x:row>
    <x:row r="49" ht="39.599998474121094" hidden="0" customHeight="1">
      <x:c r="A49" s="309" t="n">
        <x:v>48</x:v>
      </x:c>
      <x:c r="B49" s="309" t="str">
        <x:v>Давление на глубине 1000 метров составляет 11 МПа. Градиент пластового давления в интервале 1000–1300 м составляет 0,143 атм/м. Рассчитайте пластовое давление на глубине 1280 метров.</x:v>
      </x:c>
      <x:c r="C49" s="309" t="str">
        <x:v>14,6 МПа</x:v>
      </x:c>
      <x:c r="D49" s="309" t="str">
        <x:v>15 МПа</x:v>
      </x:c>
      <x:c r="E49" s="309" t="str">
        <x:v>14,8 МПа</x:v>
      </x:c>
      <x:c r="F49" s="309" t="str"/>
      <x:c r="G49" s="309" t="str"/>
      <x:c r="H49" s="309" t="str"/>
      <x:c r="I49" s="311" t="str">
        <x:v>B</x:v>
      </x:c>
      <x:c r="J49" s="311" t="str">
        <x:v>15 МПа</x:v>
      </x:c>
    </x:row>
    <x:row r="50" ht="52.79999923706055" hidden="0" customHeight="1">
      <x:c r="A50" s="309" t="n">
        <x:v>49</x:v>
      </x:c>
      <x:c r="B50" s="309" t="str">
        <x:v>Бурение скважины ведётся на глубине H = 3627 м, градиент бурового раствора Gбр = 0,155 атм/м, потери давления в затрубном пространстве ΔРзатр = 15,4 атм. Чему равно забойное давление при циркуляции?</x:v>
      </x:c>
      <x:c r="C50" s="309" t="str">
        <x:v>563,4 атм</x:v>
      </x:c>
      <x:c r="D50" s="309" t="str">
        <x:v>547,7 атм</x:v>
      </x:c>
      <x:c r="E50" s="309" t="str">
        <x:v>577,6 атм</x:v>
      </x:c>
      <x:c r="F50" s="309" t="str">
        <x:v>588,2 атм</x:v>
      </x:c>
      <x:c r="G50" s="309" t="str"/>
      <x:c r="H50" s="309" t="str"/>
      <x:c r="I50" s="311" t="str">
        <x:v>C</x:v>
      </x:c>
      <x:c r="J50" s="311" t="str">
        <x:v>577,6 атм</x:v>
      </x:c>
    </x:row>
    <x:row r="51" ht="52.79999923706055" hidden="0" customHeight="1">
      <x:c r="A51" s="309" t="n">
        <x:v>50</x:v>
      </x:c>
      <x:c r="B51" s="309" t="str">
        <x:v>На какую величину в интервалах совместимых условий бурения давление гидростатического столба бурового раствора должно превышать пластовое давление при бурении скважин глубиной до 1200 м?</x:v>
      </x:c>
      <x:c r="C51" s="309" t="str">
        <x:v>10–15 %, но не более 15 кгс/см² (1,5 МПа).</x:v>
      </x:c>
      <x:c r="D51" s="309" t="str">
        <x:v>5–10 %, но не более 25 кгс/см² (2,5 МПа).</x:v>
      </x:c>
      <x:c r="E51" s="309" t="str">
        <x:v>4–7 %, но не более 35 кгс/см² (3,5 МПа).</x:v>
      </x:c>
      <x:c r="F51" s="309" t="str"/>
      <x:c r="G51" s="309" t="str"/>
      <x:c r="H51" s="309" t="str"/>
      <x:c r="I51" s="311" t="str">
        <x:v>A</x:v>
      </x:c>
      <x:c r="J51" s="311" t="str">
        <x:v>10–15 %, но не более 15 кгс/см² (1,5 МПа).</x:v>
      </x:c>
    </x:row>
    <x:row r="52" ht="52.79999923706055" hidden="0" customHeight="1">
      <x:c r="A52" s="309" t="n">
        <x:v>51</x:v>
      </x:c>
      <x:c r="B52" s="309" t="str">
        <x:v>На какую величину в интервалах совместимых условий бурения давление гидростатического столба бурового раствора должно превышать пластовое давление при бурении скважин в интервалах более 2500 м?</x:v>
      </x:c>
      <x:c r="C52" s="309" t="str">
        <x:v>10–15 %, но не более 15 кгс/см² (1,5 МПа).</x:v>
      </x:c>
      <x:c r="D52" s="309" t="str">
        <x:v>5–10 %, но не более 25–30 кгс/см² (2,5–3,0 МПа).</x:v>
      </x:c>
      <x:c r="E52" s="309" t="str">
        <x:v>4–7 %, но не более 35 кгс/см² (3,5 МПа).</x:v>
      </x:c>
      <x:c r="F52" s="309" t="str"/>
      <x:c r="G52" s="309" t="str"/>
      <x:c r="H52" s="309" t="str"/>
      <x:c r="I52" s="311" t="str">
        <x:v>C</x:v>
      </x:c>
      <x:c r="J52" s="311" t="str">
        <x:v>4–7 %, но не более 35 кгс/см² (3,5 МПа).</x:v>
      </x:c>
    </x:row>
    <x:row r="53" ht="52.79999923706055" hidden="0" customHeight="1">
      <x:c r="A53" s="309" t="n">
        <x:v>52</x:v>
      </x:c>
      <x:c r="B53" s="309" t="str">
        <x:v>Укажите допустимый объем притока пластового флюида в ствол скважины, который определяется из условий обеспечения контроля скважины и реализации мероприятий по ликвидации газонефтеводопроявлений без осложнений при подъеме труб:</x:v>
      </x:c>
      <x:c r="C53" s="309" t="str">
        <x:v>0,5 м³</x:v>
      </x:c>
      <x:c r="D53" s="309" t="str">
        <x:v>1,0 м³</x:v>
      </x:c>
      <x:c r="E53" s="309" t="str">
        <x:v>2,0 м³</x:v>
      </x:c>
      <x:c r="F53" s="309" t="str"/>
      <x:c r="G53" s="309" t="str"/>
      <x:c r="H53" s="309" t="str"/>
      <x:c r="I53" s="311" t="str">
        <x:v>A</x:v>
      </x:c>
      <x:c r="J53" s="311" t="str">
        <x:v>0,5 м³</x:v>
      </x:c>
    </x:row>
    <x:row r="54" ht="26.399999618530273" hidden="0" customHeight="1">
      <x:c r="A54" s="309" t="n">
        <x:v>53</x:v>
      </x:c>
      <x:c r="B54" s="309" t="str">
        <x:v>При каком объёмном содержании газа в буровом растворе необходимо включить в работу дегазатор?</x:v>
      </x:c>
      <x:c r="C54" s="309" t="str">
        <x:v>Более 10 %</x:v>
      </x:c>
      <x:c r="D54" s="309" t="str">
        <x:v>Более 5 %</x:v>
      </x:c>
      <x:c r="E54" s="309" t="str">
        <x:v>Более 1 %</x:v>
      </x:c>
      <x:c r="F54" s="309" t="str"/>
      <x:c r="G54" s="309" t="str"/>
      <x:c r="H54" s="309" t="str"/>
      <x:c r="I54" s="311" t="str">
        <x:v>B</x:v>
      </x:c>
      <x:c r="J54" s="311" t="str">
        <x:v>Более 5 %</x:v>
      </x:c>
    </x:row>
    <x:row r="55" ht="39.599998474121094" hidden="0" customHeight="1">
      <x:c r="A55" s="309" t="n">
        <x:v>54</x:v>
      </x:c>
      <x:c r="B55" s="309" t="str">
        <x:v>На каком минимальном расстоянии от устья скважины необходимо устанавливать пульт управления противовыбросовым оборудованием?</x:v>
      </x:c>
      <x:c r="C55" s="309" t="str">
        <x:v>5 метров</x:v>
      </x:c>
      <x:c r="D55" s="309" t="str">
        <x:v>10 метров</x:v>
      </x:c>
      <x:c r="E55" s="309" t="str">
        <x:v>15 метров</x:v>
      </x:c>
      <x:c r="F55" s="309" t="str"/>
      <x:c r="G55" s="309" t="str"/>
      <x:c r="H55" s="309" t="str"/>
      <x:c r="I55" s="311" t="str">
        <x:v>B</x:v>
      </x:c>
      <x:c r="J55" s="311" t="str">
        <x:v>10 метров</x:v>
      </x:c>
    </x:row>
    <x:row r="56" ht="39.599998474121094" hidden="0" customHeight="1">
      <x:c r="A56" s="309" t="n">
        <x:v>55</x:v>
      </x:c>
      <x:c r="B56" s="309" t="str">
        <x:v>Что из нижеперечисленного является главной причиной эффекта поршневания?</x:v>
      </x:c>
      <x:c r="C56" s="309" t="str">
        <x:v>Низкое значение пластической вязкости и предельного статического напряжения сдвига бурового раствора.</x:v>
      </x:c>
      <x:c r="D56" s="309" t="str">
        <x:v>Слишком быстрый подъем труб.</x:v>
      </x:c>
      <x:c r="E56" s="309" t="str">
        <x:v>Неправильная плотность бурового раствора.</x:v>
      </x:c>
      <x:c r="F56" s="309" t="str">
        <x:v>Неправильная эквивалентная плотность бурового раствора.</x:v>
      </x:c>
      <x:c r="G56" s="309" t="str"/>
      <x:c r="H56" s="309" t="str"/>
      <x:c r="I56" s="311" t="str">
        <x:v>B</x:v>
      </x:c>
      <x:c r="J56" s="311" t="str">
        <x:v>Слишком быстрый подъем труб.</x:v>
      </x:c>
    </x:row>
    <x:row r="57" ht="26.399999618530273" hidden="0" customHeight="1">
      <x:c r="A57" s="309" t="n">
        <x:v>56</x:v>
      </x:c>
      <x:c r="B57" s="309" t="str">
        <x:v>Появление газа при спуско-подъёмных операциях может означать, что:</x:v>
      </x:c>
      <x:c r="C57" s="309" t="str">
        <x:v>Плотность бурового раствора слишком велика.</x:v>
      </x:c>
      <x:c r="D57" s="309" t="str">
        <x:v>Вязкость бурового раствора слишком мала.</x:v>
      </x:c>
      <x:c r="E57" s="309" t="str">
        <x:v>Возможен эффект поршневания при СПО.</x:v>
      </x:c>
      <x:c r="F57" s="309" t="str">
        <x:v>Забиты насадки долота.</x:v>
      </x:c>
      <x:c r="G57" s="309" t="str"/>
      <x:c r="H57" s="309" t="str"/>
      <x:c r="I57" s="311" t="str">
        <x:v>C</x:v>
      </x:c>
      <x:c r="J57" s="311" t="str">
        <x:v>Возможен эффект поршневания при СПО.</x:v>
      </x:c>
    </x:row>
    <x:row r="58" ht="26.399999618530273" hidden="0" customHeight="1">
      <x:c r="A58" s="309" t="n">
        <x:v>57</x:v>
      </x:c>
      <x:c r="B58" s="309" t="str">
        <x:v>Какое оборудование или метод используется для наиболее точного долива скважины во время подъёма труб?</x:v>
      </x:c>
      <x:c r="C58" s="309" t="str">
        <x:v>Насос или счетчик числа ходов насоса.</x:v>
      </x:c>
      <x:c r="D58" s="309" t="str">
        <x:v>Постоянный долив с помощью доливной емкости.</x:v>
      </x:c>
      <x:c r="E58" s="309" t="str">
        <x:v>Центробежный насос.</x:v>
      </x:c>
      <x:c r="F58" s="309" t="str"/>
      <x:c r="G58" s="309" t="str"/>
      <x:c r="H58" s="309" t="str"/>
      <x:c r="I58" s="311" t="str">
        <x:v>B</x:v>
      </x:c>
      <x:c r="J58" s="311" t="str">
        <x:v>Постоянный долив с помощью доливной емкости.</x:v>
      </x:c>
    </x:row>
    <x:row r="59" ht="39.599998474121094" hidden="0" customHeight="1">
      <x:c r="A59" s="309" t="n">
        <x:v>58</x:v>
      </x:c>
      <x:c r="B59" s="309" t="str">
        <x:v>Чем характеризуется поглощение промывочной жидкости, называемое полным?</x:v>
      </x:c>
      <x:c r="C59" s="309" t="str">
        <x:v>Часть подаваемой промывочной жидкости возвращается на устье скважины.</x:v>
      </x:c>
      <x:c r="D59" s="309" t="str">
        <x:v>Вся закачиваемая промывочная жидкость растекается по трещинам, полостям породы.</x:v>
      </x:c>
      <x:c r="E59" s="309" t="str">
        <x:v>Жидкость не возвращается на устье скважины.</x:v>
      </x:c>
      <x:c r="F59" s="309" t="str"/>
      <x:c r="G59" s="309" t="str"/>
      <x:c r="H59" s="309" t="str"/>
      <x:c r="I59" s="311" t="str">
        <x:v>C</x:v>
      </x:c>
      <x:c r="J59" s="311" t="str">
        <x:v>Жидкость не возвращается на устье скважины.</x:v>
      </x:c>
    </x:row>
    <x:row r="60" ht="39.599998474121094" hidden="0" customHeight="1">
      <x:c r="A60" s="309" t="n">
        <x:v>59</x:v>
      </x:c>
      <x:c r="B60" s="309" t="str">
        <x:v>Произошло ГНВП. Газовая пачка начала мигрировать в не закрытой скважине к устью в затрубном пространстве. Как будет изменяться объём газовой пачки?</x:v>
      </x:c>
      <x:c r="C60" s="309" t="str">
        <x:v>Увеличиваться.</x:v>
      </x:c>
      <x:c r="D60" s="309" t="str">
        <x:v>Уменьшаться.</x:v>
      </x:c>
      <x:c r="E60" s="309" t="str">
        <x:v>Не изменится.</x:v>
      </x:c>
      <x:c r="F60" s="309" t="str"/>
      <x:c r="G60" s="309" t="str"/>
      <x:c r="H60" s="309" t="str"/>
      <x:c r="I60" s="311" t="str">
        <x:v>A</x:v>
      </x:c>
      <x:c r="J60" s="311" t="str">
        <x:v>Увеличиваться.</x:v>
      </x:c>
    </x:row>
    <x:row r="61" ht="39.599998474121094" hidden="0" customHeight="1">
      <x:c r="A61" s="309" t="n">
        <x:v>60</x:v>
      </x:c>
      <x:c r="B61" s="309" t="str">
        <x:v>Произошло ГНВП. Газовая пачка начала мигрировать в не закрытой скважине к устью в затрубном пространстве. Как будет изменяться давление в газовой пачке?</x:v>
      </x:c>
      <x:c r="C61" s="309" t="str">
        <x:v>Увеличиваться.</x:v>
      </x:c>
      <x:c r="D61" s="309" t="str">
        <x:v>Уменьшаться.</x:v>
      </x:c>
      <x:c r="E61" s="309" t="str">
        <x:v>Не изменится.</x:v>
      </x:c>
      <x:c r="F61" s="309" t="str"/>
      <x:c r="G61" s="309" t="str"/>
      <x:c r="H61" s="309" t="str"/>
      <x:c r="I61" s="311" t="str">
        <x:v>B</x:v>
      </x:c>
      <x:c r="J61" s="311" t="str">
        <x:v>Уменьшаться.</x:v>
      </x:c>
    </x:row>
    <x:row r="62" ht="39.599998474121094" hidden="0" customHeight="1">
      <x:c r="A62" s="309" t="n">
        <x:v>61</x:v>
      </x:c>
      <x:c r="B62" s="309" t="str">
        <x:v>Произошло ГНВП. Скважину загерметизировали. Газовая пачка находится на забое. Определите под каким давлением находится газ в газовой пачке?</x:v>
      </x:c>
      <x:c r="C62" s="309" t="str">
        <x:v>Давление в пачке равно гидростатическому давлению столба бурового раствора.</x:v>
      </x:c>
      <x:c r="D62" s="309" t="str">
        <x:v>Давление в пачке равно забойному давлению до начала проявления.</x:v>
      </x:c>
      <x:c r="E62" s="309" t="str">
        <x:v>Давление в пачке равно пластовому давлению.</x:v>
      </x:c>
      <x:c r="F62" s="309" t="str"/>
      <x:c r="G62" s="309" t="str"/>
      <x:c r="H62" s="309" t="str"/>
      <x:c r="I62" s="311" t="str">
        <x:v>C</x:v>
      </x:c>
      <x:c r="J62" s="311" t="str">
        <x:v>Давление в пачке равно пластовому давлению.</x:v>
      </x:c>
    </x:row>
    <x:row r="63" ht="52.79999923706055" hidden="0" customHeight="1">
      <x:c r="A63" s="309" t="n">
        <x:v>62</x:v>
      </x:c>
      <x:c r="B63" s="309" t="str">
        <x:v>Какие действия необходимо предпринять при бурении газоносного объекта, если при нормальной дегазации промывочной жидкости газосодержание в выходящем потоке опасно велико?</x:v>
      </x:c>
      <x:c r="C63" s="309" t="str">
        <x:v>Увеличить подачу промывочной жидкости.</x:v>
      </x:c>
      <x:c r="D63" s="309" t="str">
        <x:v>Открыть превентор.</x:v>
      </x:c>
      <x:c r="E63" s="309" t="str">
        <x:v>Снизить механическую скорость проходки.</x:v>
      </x:c>
      <x:c r="F63" s="309" t="str"/>
      <x:c r="G63" s="309" t="str"/>
      <x:c r="H63" s="309" t="str"/>
      <x:c r="I63" s="311" t="str">
        <x:v>C</x:v>
      </x:c>
      <x:c r="J63" s="311" t="str">
        <x:v>Снизить механическую скорость проходки.</x:v>
      </x:c>
    </x:row>
    <x:row r="64" ht="39.599998474121094" hidden="0" customHeight="1">
      <x:c r="A64" s="309" t="n">
        <x:v>63</x:v>
      </x:c>
      <x:c r="B64" s="309" t="str">
        <x:v>Укажите причину технологического порядка, способную привести к отклонению ствола скважины от проектного положения (искривлению).</x:v>
      </x:c>
      <x:c r="C64" s="309" t="str">
        <x:v>Частое чередование пород с разными механическими характеристиками.</x:v>
      </x:c>
      <x:c r="D64" s="309" t="str">
        <x:v>Несоосность ствола скважины и стола ротора.</x:v>
      </x:c>
      <x:c r="E64" s="309" t="str">
        <x:v>Высокие нагрузки на долото, вызывающие продольный изгиб бурильной колонны.</x:v>
      </x:c>
      <x:c r="F64" s="309" t="str"/>
      <x:c r="G64" s="309" t="str"/>
      <x:c r="H64" s="309" t="str"/>
      <x:c r="I64" s="311" t="str">
        <x:v>C</x:v>
      </x:c>
      <x:c r="J64" s="311" t="str">
        <x:v>Высокие нагрузки на долото, вызывающие продольный изгиб бурильной колонны.</x:v>
      </x:c>
    </x:row>
    <x:row r="65" ht="39.599998474121094" hidden="0" customHeight="1">
      <x:c r="A65" s="309" t="n">
        <x:v>64</x:v>
      </x:c>
      <x:c r="B65" s="309" t="str">
        <x:v>Какие мероприятия целесообразно осуществить в эксплуатационной скважине перед проведением в ней ГРП (гидроразрыва)?</x:v>
      </x:c>
      <x:c r="C65" s="309" t="str">
        <x:v>Остановить скважину на 5 суток для выравнивания температуры и давления в скважине в соответствии с глубиной.</x:v>
      </x:c>
      <x:c r="D65" s="309" t="str">
        <x:v>Установить максимально допустимый режим, с целью отбора наибольшего объема продукта.</x:v>
      </x:c>
      <x:c r="E65" s="309" t="str">
        <x:v>Промыть, подвергнуть соляно-кислотной обработке.</x:v>
      </x:c>
      <x:c r="F65" s="309" t="str"/>
      <x:c r="G65" s="309" t="str"/>
      <x:c r="H65" s="309" t="str"/>
      <x:c r="I65" s="311" t="str">
        <x:v>C</x:v>
      </x:c>
      <x:c r="J65" s="311" t="str">
        <x:v>Промыть, подвергнуть соляно-кислотной обработке.</x:v>
      </x:c>
    </x:row>
    <x:row r="66" ht="39.599998474121094" hidden="0" customHeight="1">
      <x:c r="A66" s="309" t="n">
        <x:v>65</x:v>
      </x:c>
      <x:c r="B66" s="309" t="str">
        <x:v>Верно ли утверждение, что разность между давлением в трубном и затрубном пространствах пропорциональна объёму поступившего флюида?</x:v>
      </x:c>
      <x:c r="C66" s="309" t="str">
        <x:v>Верно.</x:v>
      </x:c>
      <x:c r="D66" s="309" t="str">
        <x:v>Не верно.</x:v>
      </x:c>
      <x:c r="E66" s="309" t="str"/>
      <x:c r="F66" s="309" t="str"/>
      <x:c r="G66" s="309" t="str"/>
      <x:c r="H66" s="309" t="str"/>
      <x:c r="I66" s="311" t="str">
        <x:v>A</x:v>
      </x:c>
      <x:c r="J66" s="311" t="str">
        <x:v>Верно.</x:v>
      </x:c>
    </x:row>
    <x:row r="67" ht="39.599998474121094" hidden="0" customHeight="1">
      <x:c r="A67" s="309" t="n">
        <x:v>66</x:v>
      </x:c>
      <x:c r="B67" s="309" t="str">
        <x:v>Произошло ГНВП. Скважину загерметизировали. Газовая пачка начала мигрировать к устью в затрубном пространстве. Как будет изменяться избыточное давление в трубном пространстве?</x:v>
      </x:c>
      <x:c r="C67" s="309" t="str">
        <x:v>Увеличиваться.</x:v>
      </x:c>
      <x:c r="D67" s="309" t="str">
        <x:v>Уменьшаться.</x:v>
      </x:c>
      <x:c r="E67" s="309" t="str">
        <x:v>Не изменится.</x:v>
      </x:c>
      <x:c r="F67" s="309" t="str"/>
      <x:c r="G67" s="309" t="str"/>
      <x:c r="H67" s="309" t="str"/>
      <x:c r="I67" s="311" t="str">
        <x:v>A</x:v>
      </x:c>
      <x:c r="J67" s="311" t="str">
        <x:v>Увеличиваться.</x:v>
      </x:c>
    </x:row>
    <x:row r="68" ht="39.599998474121094" hidden="0" customHeight="1">
      <x:c r="A68" s="309" t="n">
        <x:v>67</x:v>
      </x:c>
      <x:c r="B68" s="309" t="str">
        <x:v>Назовите специализированное дочернее общество ПАО «Газпром», специализирующееся на предупреждении и ликвидации открытых фонтанов на скважинах.</x:v>
      </x:c>
      <x:c r="C68" s="309" t="str">
        <x:v>ООО «Газпром газобезопасность».</x:v>
      </x:c>
      <x:c r="D68" s="309" t="str">
        <x:v>ООО «Газпром газнадзор».</x:v>
      </x:c>
      <x:c r="E68" s="309" t="str">
        <x:v>ООО «Газпром ПХГ».</x:v>
      </x:c>
      <x:c r="F68" s="309" t="str"/>
      <x:c r="G68" s="309" t="str"/>
      <x:c r="H68" s="309" t="str"/>
      <x:c r="I68" s="311" t="str">
        <x:v>A</x:v>
      </x:c>
      <x:c r="J68" s="311" t="str">
        <x:v>ООО «Газпром газобезопасность».</x:v>
      </x:c>
    </x:row>
    <x:row r="69" ht="66" hidden="0" customHeight="1">
      <x:c r="A69" s="309" t="n">
        <x:v>68</x:v>
      </x:c>
      <x:c r="B69" s="309" t="str">
        <x:v>Произошло ГНВП. Скважину загерметизировали. Газовая пачка начала мигрировать к устью в затрубном пространстве. Как будут изменяться избыточное давление в затрубном пространстве и избыточное давление в трубном пространстве ниже «хвоста» газовой пачки?</x:v>
      </x:c>
      <x:c r="C69" s="309" t="str">
        <x:v>Давление в затрубном пространстве будет расти быстрее.</x:v>
      </x:c>
      <x:c r="D69" s="309" t="str">
        <x:v>Давление в трубном пространстве будет расти быстрее.</x:v>
      </x:c>
      <x:c r="E69" s="309" t="str">
        <x:v>Будут расти одинаково.</x:v>
      </x:c>
      <x:c r="F69" s="309" t="str"/>
      <x:c r="G69" s="309" t="str"/>
      <x:c r="H69" s="309" t="str"/>
      <x:c r="I69" s="311" t="str">
        <x:v>C</x:v>
      </x:c>
      <x:c r="J69" s="311" t="str">
        <x:v>Будут расти одинаково.</x:v>
      </x:c>
    </x:row>
    <x:row r="70" ht="39.599998474121094" hidden="0" customHeight="1">
      <x:c r="A70" s="309" t="n">
        <x:v>69</x:v>
      </x:c>
      <x:c r="B70" s="309" t="str">
        <x:v>Произошло ГНВП. Скважину загерметизировали. Газовая пачка начала мигрировать к устью в затрубном пространстве. Как будет изменяться забойное давление?</x:v>
      </x:c>
      <x:c r="C70" s="309" t="str">
        <x:v>Увеличиваться.</x:v>
      </x:c>
      <x:c r="D70" s="309" t="str">
        <x:v>Уменьшаться.</x:v>
      </x:c>
      <x:c r="E70" s="309" t="str">
        <x:v>Оставаться неизменным.</x:v>
      </x:c>
      <x:c r="F70" s="309" t="str"/>
      <x:c r="G70" s="309" t="str"/>
      <x:c r="H70" s="309" t="str"/>
      <x:c r="I70" s="311" t="str">
        <x:v>A</x:v>
      </x:c>
      <x:c r="J70" s="311" t="str">
        <x:v>Увеличиваться.</x:v>
      </x:c>
    </x:row>
    <x:row r="71" ht="66" hidden="0" customHeight="1">
      <x:c r="A71" s="309" t="n">
        <x:v>70</x:v>
      </x:c>
      <x:c r="B71" s="309" t="str">
        <x:v>Произошло ГНВП, приток — газ в объёме 4,8 м³. Газовый градиент 0,026 атм/м. Избыточное давление в бурильных трубах 24 атм. Газ начал мигрировать в закрытой скважине. Решено стравливать раствор, поддерживая давление в бурильных трубах равным 24 атм. Что будет с давлением в газовой пачке?</x:v>
      </x:c>
      <x:c r="C71" s="309" t="str">
        <x:v>Увеличиваться.</x:v>
      </x:c>
      <x:c r="D71" s="309" t="str">
        <x:v>Уменьшаться.</x:v>
      </x:c>
      <x:c r="E71" s="309" t="str">
        <x:v>Оставаться неизменным.</x:v>
      </x:c>
      <x:c r="F71" s="309" t="str"/>
      <x:c r="G71" s="309" t="str"/>
      <x:c r="H71" s="309" t="str"/>
      <x:c r="I71" s="311" t="str">
        <x:v>B</x:v>
      </x:c>
      <x:c r="J71" s="311" t="str">
        <x:v>Уменьшаться.</x:v>
      </x:c>
    </x:row>
    <x:row r="72" ht="52.79999923706055" hidden="0" customHeight="1">
      <x:c r="A72" s="309" t="n">
        <x:v>71</x:v>
      </x:c>
      <x:c r="B72" s="309" t="str">
        <x:v>Произошло ГНВП. Избыточное давление в бурильных трубах 24 атм. Газ начал мигрировать в закрытой скважине. Решено стравливать раствор, поддерживая давление в бурильных трубах равным 24 атм. Что будет с забойным давлением?</x:v>
      </x:c>
      <x:c r="C72" s="309" t="str">
        <x:v>Увеличиваться.</x:v>
      </x:c>
      <x:c r="D72" s="309" t="str">
        <x:v>Уменьшаться.</x:v>
      </x:c>
      <x:c r="E72" s="309" t="str">
        <x:v>Оставаться неизменным.</x:v>
      </x:c>
      <x:c r="F72" s="309" t="str"/>
      <x:c r="G72" s="309" t="str"/>
      <x:c r="H72" s="309" t="str"/>
      <x:c r="I72" s="311" t="str">
        <x:v>C</x:v>
      </x:c>
      <x:c r="J72" s="311" t="str">
        <x:v>Оставаться неизменным.</x:v>
      </x:c>
    </x:row>
    <x:row r="73" ht="66" hidden="0" customHeight="1">
      <x:c r="A73" s="309" t="n">
        <x:v>72</x:v>
      </x:c>
      <x:c r="B73" s="309" t="str">
        <x:v>Произошло ГНВП. Избыточное давление в бурильных трубах 24 атм. Газ начал мигрировать в закрытой скважине. Решено стравливать раствор, поддерживая давление в бурильных трубах равным 24 атм. Что будет с давлением у башмака при движении пачки выше башмака?</x:v>
      </x:c>
      <x:c r="C73" s="309" t="str">
        <x:v>Увеличиваться.</x:v>
      </x:c>
      <x:c r="D73" s="309" t="str">
        <x:v>Уменьшаться.</x:v>
      </x:c>
      <x:c r="E73" s="309" t="str">
        <x:v>Оставаться неизменным.</x:v>
      </x:c>
      <x:c r="F73" s="309" t="str"/>
      <x:c r="G73" s="309" t="str"/>
      <x:c r="H73" s="309" t="str"/>
      <x:c r="I73" s="311" t="str">
        <x:v>C</x:v>
      </x:c>
      <x:c r="J73" s="311" t="str">
        <x:v>Оставаться неизменным.</x:v>
      </x:c>
    </x:row>
    <x:row r="74" ht="26.399999618530273" hidden="0" customHeight="1">
      <x:c r="A74" s="309" t="n">
        <x:v>73</x:v>
      </x:c>
      <x:c r="B74" s="309" t="str">
        <x:v>Какое из утверждений верно для давлений в скважине при правильном вымыве газовой пачки?</x:v>
      </x:c>
      <x:c r="C74" s="309" t="str">
        <x:v>Давление над газовой пачкой постоянно.</x:v>
      </x:c>
      <x:c r="D74" s="309" t="str">
        <x:v>Давление под газовой пачкой постоянно.</x:v>
      </x:c>
      <x:c r="E74" s="309" t="str">
        <x:v>Давление под газовой пачкой уменьшается.</x:v>
      </x:c>
      <x:c r="F74" s="309" t="str">
        <x:v>Давление над газовой пачкой уменьшается.</x:v>
      </x:c>
      <x:c r="G74" s="309" t="str"/>
      <x:c r="H74" s="309" t="str"/>
      <x:c r="I74" s="311" t="str">
        <x:v>B</x:v>
      </x:c>
      <x:c r="J74" s="311" t="str">
        <x:v>Давление под газовой пачкой постоянно.</x:v>
      </x:c>
    </x:row>
    <x:row r="75" ht="39.599998474121094" hidden="0" customHeight="1">
      <x:c r="A75" s="309" t="n">
        <x:v>74</x:v>
      </x:c>
      <x:c r="B75" s="309" t="str">
        <x:v>Верно ли утверждение, что одним из методов борьбы с открытым фонтанированием скважин является подземный взрыв (в том числе ядерный)?</x:v>
      </x:c>
      <x:c r="C75" s="309" t="str">
        <x:v>Нет.</x:v>
      </x:c>
      <x:c r="D75" s="309" t="str">
        <x:v>Да.</x:v>
      </x:c>
      <x:c r="E75" s="309" t="str"/>
      <x:c r="F75" s="309" t="str"/>
      <x:c r="G75" s="309" t="str"/>
      <x:c r="H75" s="309" t="str"/>
      <x:c r="I75" s="311" t="str">
        <x:v>B</x:v>
      </x:c>
      <x:c r="J75" s="311" t="str">
        <x:v>Да.</x:v>
      </x:c>
    </x:row>
    <x:row r="76" ht="39.599998474121094" hidden="0" customHeight="1">
      <x:c r="A76" s="309" t="n">
        <x:v>75</x:v>
      </x:c>
      <x:c r="B76" s="309" t="str">
        <x:v>Назовите тип превенторов, получивших наибольшее распространение в отечественной и мировой практике использования в составе ПВО.</x:v>
      </x:c>
      <x:c r="C76" s="309" t="str">
        <x:v>Кольцевые.</x:v>
      </x:c>
      <x:c r="D76" s="309" t="str">
        <x:v>Универсальные.</x:v>
      </x:c>
      <x:c r="E76" s="309" t="str">
        <x:v>Вращающиеся.</x:v>
      </x:c>
      <x:c r="F76" s="309" t="str">
        <x:v>Срезные.</x:v>
      </x:c>
      <x:c r="G76" s="309" t="str">
        <x:v>Плашечные.</x:v>
      </x:c>
      <x:c r="H76" s="309" t="str"/>
      <x:c r="I76" s="311" t="str">
        <x:v>E</x:v>
      </x:c>
      <x:c r="J76" s="311" t="str">
        <x:v>Плашечные.</x:v>
      </x:c>
    </x:row>
    <x:row r="77" ht="26.399999618530273" hidden="0" customHeight="1">
      <x:c r="A77" s="309" t="n">
        <x:v>76</x:v>
      </x:c>
      <x:c r="B77" s="309" t="str">
        <x:v>Появление газа — это сигнал для того, чтобы...</x:v>
      </x:c>
      <x:c r="C77" s="309" t="str">
        <x:v>Удвоить плотность бурового раствора.</x:v>
      </x:c>
      <x:c r="D77" s="309" t="str">
        <x:v>Уменьшить плотность бурового раствора.</x:v>
      </x:c>
      <x:c r="E77" s="309" t="str">
        <x:v>Увеличить плотность бурового раствора на некоторую величину.</x:v>
      </x:c>
      <x:c r="F77" s="309" t="str">
        <x:v>Загерметизировать скважину и вызвать бурового мастера.</x:v>
      </x:c>
      <x:c r="G77" s="309" t="str"/>
      <x:c r="H77" s="309" t="str"/>
      <x:c r="I77" s="311" t="str">
        <x:v>C</x:v>
      </x:c>
      <x:c r="J77" s="311" t="str">
        <x:v>Увеличить плотность бурового раствора на некоторую величину.</x:v>
      </x:c>
    </x:row>
    <x:row r="78" ht="26.399999618530273" hidden="0" customHeight="1">
      <x:c r="A78" s="309" t="n">
        <x:v>77</x:v>
      </x:c>
      <x:c r="B78" s="309" t="str">
        <x:v>Какой из признаков свидетельствует о том, что происходит поступление флюида в скважину во время бурения?</x:v>
      </x:c>
      <x:c r="C78" s="309" t="str">
        <x:v>Увеличение расхода бурового раствора, выходящего из скважины.</x:v>
      </x:c>
      <x:c r="D78" s="309" t="str">
        <x:v>Увеличение давления на стояке и уменьшение числа ходов насоса.</x:v>
      </x:c>
      <x:c r="E78" s="309" t="str"/>
      <x:c r="F78" s="309" t="str"/>
      <x:c r="G78" s="309" t="str"/>
      <x:c r="H78" s="309" t="str"/>
      <x:c r="I78" s="311" t="str">
        <x:v>A</x:v>
      </x:c>
      <x:c r="J78" s="311" t="str">
        <x:v>Увеличение расхода бурового раствора, выходящего из скважины.</x:v>
      </x:c>
    </x:row>
    <x:row r="79" ht="39.599998474121094" hidden="0" customHeight="1">
      <x:c r="A79" s="309" t="n">
        <x:v>78</x:v>
      </x:c>
      <x:c r="B79" s="309" t="str">
        <x:v>Если во время остановки процесса бурения произошло увеличение расхода выходящего потока бурового раствора из скважины, то каковы должны быть действия бурильщика?</x:v>
      </x:c>
      <x:c r="C79" s="309" t="str">
        <x:v>1. Приподнять ведущую трубу буровой колонны.</x:v>
      </x:c>
      <x:c r="D79" s="309" t="str">
        <x:v>2. Выключить насос.</x:v>
      </x:c>
      <x:c r="E79" s="309" t="str">
        <x:v>3. Проверить происходит ли движение жидкости из скважины, если да, то закрыть ее.</x:v>
      </x:c>
      <x:c r="F79" s="309" t="str">
        <x:v>4. Все вышеперечисленные действия.</x:v>
      </x:c>
      <x:c r="G79" s="309" t="str"/>
      <x:c r="H79" s="309" t="str"/>
      <x:c r="I79" s="311" t="str">
        <x:v>D</x:v>
      </x:c>
      <x:c r="J79" s="311" t="str">
        <x:v>4. Все вышеперечисленные действия.</x:v>
      </x:c>
    </x:row>
    <x:row r="80" ht="66" hidden="0" customHeight="1">
      <x:c r="A80" s="309" t="n">
        <x:v>79</x:v>
      </x:c>
      <x:c r="B80" s="309" t="str">
        <x:v>Какие ваши действия в случае «мягкой» герметизации во время спуска/подъёма труб?</x:v>
      </x:c>
      <x:c r="C80" s="309" t="str">
        <x:v>Навернуть полностью открытый КШЦ, затем закрыть его, открыть гидроуправляемую задвижку и закрыть превентор, закрыть дроссель и задвижку перед дросселем.</x:v>
      </x:c>
      <x:c r="D80" s="309" t="str">
        <x:v>Закрыть превентор и навернуть обратный клапан, открыть дроссель и закрыть гидроуправляемую задвижку.</x:v>
      </x:c>
      <x:c r="E80" s="309" t="str">
        <x:v>Закрыть КШЦ, затем навернуть его, закрыть превентор, закрыть дроссель.</x:v>
      </x:c>
      <x:c r="F80" s="309" t="str">
        <x:v>Открыть гидроуправляемую задвижку, закрыть превентор и дроссель.</x:v>
      </x:c>
      <x:c r="G80" s="309" t="str"/>
      <x:c r="H80" s="309" t="str"/>
      <x:c r="I80" s="311" t="str">
        <x:v>A</x:v>
      </x:c>
      <x:c r="J80" s="311" t="str">
        <x:v>Навернуть полностью открытый КШЦ, затем закрыть его, открыть гидроуправляемую задвижку и закрыть превентор, закрыть дроссель и задвижку перед дросселем.</x:v>
      </x:c>
    </x:row>
    <x:row r="81" ht="79.19999694824219" hidden="0" customHeight="1">
      <x:c r="A81" s="309" t="n">
        <x:v>80</x:v>
      </x:c>
      <x:c r="B81" s="309" t="str">
        <x:v>Произошло ГНВП. В бурильной колонне установлен обратный клапан, что вы будете делать?</x:v>
      </x:c>
      <x:c r="C81" s="309" t="str">
        <x:v>Используя значение давления в затрубном пространстве при закрытой скважине, начать закачку бурового раствора для глушения.</x:v>
      </x:c>
      <x:c r="D81" s="309" t="str">
        <x:v>Увеличивать плотность бурового раствора ступенчато по 0,15 г/см³ до тех пор, пока скважина не будет заглушена.</x:v>
      </x:c>
      <x:c r="E81" s="309" t="str">
        <x:v>Медленно начать циркуляцию либо до стабилизации давления в бурильных трубах, либо до увеличения давления в затрубном пространстве с целью определения давления в бурильных трубах закрытой скважины.</x:v>
      </x:c>
      <x:c r="F81" s="309" t="str">
        <x:v>Бросить в бурильные трубы штангу для открытия обратного клапана.</x:v>
      </x:c>
      <x:c r="G81" s="309" t="str"/>
      <x:c r="H81" s="309" t="str"/>
      <x:c r="I81" s="311" t="str">
        <x:v>C</x:v>
      </x:c>
      <x:c r="J81" s="311" t="str">
        <x:v>Медленно начать циркуляцию либо до стабилизации давления в бурильных трубах, либо до увеличения давления в затрубном пространстве с целью определения давления в бурильных трубах закрытой скважины.</x:v>
      </x:c>
    </x:row>
    <x:row r="82" ht="39.599998474121094" hidden="0" customHeight="1">
      <x:c r="A82" s="309" t="n">
        <x:v>81</x:v>
      </x:c>
      <x:c r="B82" s="309" t="str">
        <x:v>Назовите одну из главных мер предупреждения ГНВП в процессе эксплуатации скважин.</x:v>
      </x:c>
      <x:c r="C82" s="309" t="str">
        <x:v>Ежедневный объезд всего фонда скважин.</x:v>
      </x:c>
      <x:c r="D82" s="309" t="str">
        <x:v>Эксплуатация скважин без превышения назначенного технологического режима.</x:v>
      </x:c>
      <x:c r="E82" s="309" t="str">
        <x:v>Периодическая эксплуатация скважин.</x:v>
      </x:c>
      <x:c r="F82" s="309" t="str"/>
      <x:c r="G82" s="309" t="str"/>
      <x:c r="H82" s="309" t="str"/>
      <x:c r="I82" s="311" t="str">
        <x:v>B</x:v>
      </x:c>
      <x:c r="J82" s="311" t="str">
        <x:v>Эксплуатация скважин без превышения назначенного технологического режима.</x:v>
      </x:c>
    </x:row>
    <x:row r="83" ht="66" hidden="0" customHeight="1">
      <x:c r="A83" s="309" t="n">
        <x:v>82</x:v>
      </x:c>
      <x:c r="B83" s="309" t="str">
        <x:v>Скважина закрыта в связи с ГНВП. Во время утяжеления бурового раствора до задавочной величины давления в бурильных трубах и обсадной колонне увеличились из-за миграции газа. Как лучше управлять ГНВП до тех пор, пока не будет готов задавочный буровой раствор?</x:v>
      </x:c>
      <x:c r="C83" s="309" t="str">
        <x:v>Держать скважину закрытой; нет никакого риска до тех пор, пока не достигнуто допустимое давление в затрубном пространстве.</x:v>
      </x:c>
      <x:c r="D83" s="309" t="str">
        <x:v>Поддерживать постоянным давление в затрубном пространстве путем сброса бурового раствора через дроссель.</x:v>
      </x:c>
      <x:c r="E83" s="309" t="str">
        <x:v>Поддерживать давление в бурильных трубах постоянным, сбрасывая буровой раствор через дроссель.</x:v>
      </x:c>
      <x:c r="F83" s="309" t="str">
        <x:v>Стравливать давление в бурильных трубах через манифольд, поддерживать его постоянным.</x:v>
      </x:c>
      <x:c r="G83" s="309" t="str"/>
      <x:c r="H83" s="309" t="str"/>
      <x:c r="I83" s="311" t="str">
        <x:v>C</x:v>
      </x:c>
      <x:c r="J83" s="311" t="str">
        <x:v>Поддерживать давление в бурильных трубах постоянным, сбрасывая буровой раствор через дроссель.</x:v>
      </x:c>
    </x:row>
    <x:row r="84" ht="39.599998474121094" hidden="0" customHeight="1">
      <x:c r="A84" s="309" t="n">
        <x:v>83</x:v>
      </x:c>
      <x:c r="B84" s="309" t="str">
        <x:v>Если давление в бурильных трубах в закрытой скважине равно 15 атм при объёме проявления 0,79 м³, то каково будет это давление при объёме 2,38 м³?</x:v>
      </x:c>
      <x:c r="C84" s="309" t="str">
        <x:v>Выше.</x:v>
      </x:c>
      <x:c r="D84" s="309" t="str">
        <x:v>Ниже.</x:v>
      </x:c>
      <x:c r="E84" s="309" t="str">
        <x:v>То же самое.</x:v>
      </x:c>
      <x:c r="F84" s="309" t="str"/>
      <x:c r="G84" s="309" t="str"/>
      <x:c r="H84" s="309" t="str"/>
      <x:c r="I84" s="311" t="str">
        <x:v>C</x:v>
      </x:c>
      <x:c r="J84" s="311" t="str">
        <x:v>То же самое.</x:v>
      </x:c>
    </x:row>
    <x:row r="85" ht="79.19999694824219" hidden="0" customHeight="1">
      <x:c r="A85" s="309" t="n">
        <x:v>84</x:v>
      </x:c>
      <x:c r="B85" s="309" t="str">
        <x:v>Исходные данные: плотность бурового раствора 1,42 г/см³, градиент пластового давления 0,059 атм/м, устьевое давление в бурильных трубах при закрытой скважине 31 атм, скважина закрыта с притоком газовой пачки высотой по стволу скважины 150 м. Определите устьевое давление в кольцевом пространстве при закрытии скважины.</x:v>
      </x:c>
      <x:c r="C85" s="309" t="str">
        <x:v>35,8 атм</x:v>
      </x:c>
      <x:c r="D85" s="309" t="str">
        <x:v>43,0 атм</x:v>
      </x:c>
      <x:c r="E85" s="309" t="str">
        <x:v>50,6 атм</x:v>
      </x:c>
      <x:c r="F85" s="309" t="str"/>
      <x:c r="G85" s="309" t="str"/>
      <x:c r="H85" s="309" t="str"/>
      <x:c r="I85" s="311" t="str">
        <x:v>C</x:v>
      </x:c>
      <x:c r="J85" s="311" t="str">
        <x:v>50,6 атм</x:v>
      </x:c>
    </x:row>
    <x:row r="86" ht="118.80000305175781" hidden="0" customHeight="1">
      <x:c r="A86" s="309" t="n">
        <x:v>85</x:v>
      </x:c>
      <x:c r="B86" s="309" t="str">
        <x:v>При подъёме инструмента, долото поднято с забоя на 1000 м. Начался перелив и скважина была загерметизирована. Давление в бурильных трубах при закрытии 17,5 атм, давление в затрубном пространстве при закрытии скважины 17,5 атм. Пачка газа поднимается по стволу скважины вверх. Для поддержания забойного давления постоянным скважину разряжают путём стравливания давления в кольцевом пространстве. Как поведёт себя давление в бурильных трубах при прохождении пачки газа через долото?</x:v>
      </x:c>
      <x:c r="C86" s="309" t="str">
        <x:v>Повысится.</x:v>
      </x:c>
      <x:c r="D86" s="309" t="str">
        <x:v>Понизится.</x:v>
      </x:c>
      <x:c r="E86" s="309" t="str">
        <x:v>Останется неизменным.</x:v>
      </x:c>
      <x:c r="F86" s="309" t="str"/>
      <x:c r="G86" s="309" t="str"/>
      <x:c r="H86" s="309" t="str"/>
      <x:c r="I86" s="311" t="str">
        <x:v>C</x:v>
      </x:c>
      <x:c r="J86" s="311" t="str">
        <x:v>Останется неизменным.</x:v>
      </x:c>
    </x:row>
    <x:row r="87" ht="92.4000015258789" hidden="0" customHeight="1">
      <x:c r="A87" s="309" t="n">
        <x:v>86</x:v>
      </x:c>
      <x:c r="B87" s="309" t="str">
        <x:v>При подъёме инструмента, долото поднято с забоя на 1000 м. Начался перелив и скважина была загерметизирована. Давление в бурильных трубах при закрытии 17,5 атм, давление в затрубном пространстве при закрытии скважины 17,5 атм. Пачка газа поднимается по стволу скважины вверх. Чему будет равно давление в бурильных трубах, если пачка газа находится выше долота?</x:v>
      </x:c>
      <x:c r="C87" s="309" t="str">
        <x:v>0 атм</x:v>
      </x:c>
      <x:c r="D87" s="309" t="str">
        <x:v>17,5 атм</x:v>
      </x:c>
      <x:c r="E87" s="309" t="str">
        <x:v>24,4 атм</x:v>
      </x:c>
      <x:c r="F87" s="309" t="str">
        <x:v>Недостаточно данных для расчета.</x:v>
      </x:c>
      <x:c r="G87" s="309" t="str"/>
      <x:c r="H87" s="309" t="str"/>
      <x:c r="I87" s="311" t="str">
        <x:v>A</x:v>
      </x:c>
      <x:c r="J87" s="311" t="str">
        <x:v>0 атм</x:v>
      </x:c>
    </x:row>
    <x:row r="88" ht="118.80000305175781" hidden="0" customHeight="1">
      <x:c r="A88" s="309" t="n">
        <x:v>87</x:v>
      </x:c>
      <x:c r="B88" s="309" t="str">
        <x:v>Скважина закрыта, при проявлении зарегистрирована следующая информация: избыточное давление в бурильных трубах 35 атм, избыточное давление в затрубном пространстве 58 атм, глубина скважины по вертикали 3043 м, плотность исходного бурового раствора 1,25 г/см³. Если буровой раствор с плотностью, необходимой для глушения скважины, закачать только в верхнюю половину бурильных труб, а затем выключить насос, какое давление будет в бурильных трубах закрытой скважины?</x:v>
      </x:c>
      <x:c r="C88" s="309" t="str">
        <x:v>17,4 атм</x:v>
      </x:c>
      <x:c r="D88" s="309" t="str">
        <x:v>35,1 атм</x:v>
      </x:c>
      <x:c r="E88" s="309" t="str">
        <x:v>56,0 атм</x:v>
      </x:c>
      <x:c r="F88" s="309" t="str">
        <x:v>28,4 атм</x:v>
      </x:c>
      <x:c r="G88" s="309" t="str"/>
      <x:c r="H88" s="309" t="str"/>
      <x:c r="I88" s="311" t="str">
        <x:v>A</x:v>
      </x:c>
      <x:c r="J88" s="311" t="str">
        <x:v>17,4 атм</x:v>
      </x:c>
    </x:row>
    <x:row r="89" ht="52.79999923706055" hidden="0" customHeight="1">
      <x:c r="A89" s="309" t="n">
        <x:v>88</x:v>
      </x:c>
      <x:c r="B89" s="309" t="str">
        <x:v>Основной целью при вымыве поступившего флюида в скважину является...?</x:v>
      </x:c>
      <x:c r="C89" s="309" t="str">
        <x:v>Поддержание постоянного забойного давления на 15 атм выше пластового давления во время всей операции по контролю скважины.</x:v>
      </x:c>
      <x:c r="D89" s="309" t="str">
        <x:v>Поддержание постоянного забойного давления слегка (5–10 атм) выше пластового давления во время всей операции по контролю скважины.</x:v>
      </x:c>
      <x:c r="E89" s="309" t="str">
        <x:v>Выполнить операцию как можно быстрее без обращения внимания на забойное давление.</x:v>
      </x:c>
      <x:c r="F89" s="309" t="str"/>
      <x:c r="G89" s="309" t="str"/>
      <x:c r="H89" s="309" t="str"/>
      <x:c r="I89" s="311" t="str">
        <x:v>B</x:v>
      </x:c>
      <x:c r="J89" s="311" t="str">
        <x:v>Поддержание постоянного забойного давления слегка (5–10 атм) выше пластового давления во время всей операции по контролю скважины.</x:v>
      </x:c>
    </x:row>
    <x:row r="90" ht="52.79999923706055" hidden="0" customHeight="1">
      <x:c r="A90" s="309" t="n">
        <x:v>89</x:v>
      </x:c>
      <x:c r="B90" s="309" t="str">
        <x:v>Какие из приведённых утверждений верны относительно давления в скважине при правильном вымыве пачки газа?</x:v>
      </x:c>
      <x:c r="C90" s="309" t="str">
        <x:v>До тех пор пока процесс глушения ведется правильно, давление в скважине над газовой пачкой будет оставаться постоянным.</x:v>
      </x:c>
      <x:c r="D90" s="309" t="str">
        <x:v>До тех пор пока процесс глушения ведется правильно, давление в скважине над газовой пачкой будет оставаться увеличиваться.</x:v>
      </x:c>
      <x:c r="E90" s="309" t="str">
        <x:v>До тех пор пока процесс глушения ведется правильно, давление в скважине под газовой пачкой будет оставаться постоянным.</x:v>
      </x:c>
      <x:c r="F90" s="309" t="str"/>
      <x:c r="G90" s="309" t="str"/>
      <x:c r="H90" s="309" t="str"/>
      <x:c r="I90" s="311" t="str">
        <x:v>C</x:v>
      </x:c>
      <x:c r="J90" s="311" t="str">
        <x:v>До тех пор пока процесс глушения ведется правильно, давление в скважине под газовой пачкой будет оставаться постоянным.</x:v>
      </x:c>
    </x:row>
    <x:row r="91" ht="26.399999618530273" hidden="0" customHeight="1">
      <x:c r="A91" s="309" t="n">
        <x:v>90</x:v>
      </x:c>
      <x:c r="B91" s="309" t="str">
        <x:v>Основной принцип метода постоянного давления на забое — поддерживать давление, которое...?</x:v>
      </x:c>
      <x:c r="C91" s="309" t="str">
        <x:v>Равно изменяющейся величине гидростатического давления.</x:v>
      </x:c>
      <x:c r="D91" s="309" t="str">
        <x:v>Как минимум равно пластовому давлению.</x:v>
      </x:c>
      <x:c r="E91" s="309" t="str">
        <x:v>Равно давлению в бурильных трубах при глушении.</x:v>
      </x:c>
      <x:c r="F91" s="309" t="str">
        <x:v>Как минимум равно давлению в затрубном пространстве при глушении.</x:v>
      </x:c>
      <x:c r="G91" s="309" t="str"/>
      <x:c r="H91" s="309" t="str"/>
      <x:c r="I91" s="311" t="str">
        <x:v>B</x:v>
      </x:c>
      <x:c r="J91" s="311" t="str">
        <x:v>Как минимум равно пластовому давлению.</x:v>
      </x:c>
    </x:row>
    <x:row r="92" ht="39.599998474121094" hidden="0" customHeight="1">
      <x:c r="A92" s="309" t="n">
        <x:v>91</x:v>
      </x:c>
      <x:c r="B92" s="309" t="str">
        <x:v>Если во время заполнения бурильных труб задавочным раствором трубное давление поддерживать постоянным, то что будет происходить с забойным давлением?</x:v>
      </x:c>
      <x:c r="C92" s="309" t="str">
        <x:v>Увеличиваться.</x:v>
      </x:c>
      <x:c r="D92" s="309" t="str">
        <x:v>Уменьшаться.</x:v>
      </x:c>
      <x:c r="E92" s="309" t="str">
        <x:v>Оставаться неизменным.</x:v>
      </x:c>
      <x:c r="F92" s="309" t="str"/>
      <x:c r="G92" s="309" t="str"/>
      <x:c r="H92" s="309" t="str"/>
      <x:c r="I92" s="311" t="str">
        <x:v>A</x:v>
      </x:c>
      <x:c r="J92" s="311" t="str">
        <x:v>Увеличиваться.</x:v>
      </x:c>
    </x:row>
    <x:row r="93" ht="26.399999618530273" hidden="0" customHeight="1">
      <x:c r="A93" s="309" t="n">
        <x:v>92</x:v>
      </x:c>
      <x:c r="B93" s="309" t="str">
        <x:v>Если в начале глушения давление в затрубном пространстве увеличивается, то забойное давление...</x:v>
      </x:c>
      <x:c r="C93" s="309" t="str">
        <x:v>Увеличивается.</x:v>
      </x:c>
      <x:c r="D93" s="309" t="str">
        <x:v>Уменьшается.</x:v>
      </x:c>
      <x:c r="E93" s="309" t="str">
        <x:v>Остается неизменным.</x:v>
      </x:c>
      <x:c r="F93" s="309" t="str"/>
      <x:c r="G93" s="309" t="str"/>
      <x:c r="H93" s="309" t="str"/>
      <x:c r="I93" s="311" t="str">
        <x:v>A</x:v>
      </x:c>
      <x:c r="J93" s="311" t="str">
        <x:v>Увеличивается.</x:v>
      </x:c>
    </x:row>
    <x:row r="94" ht="26.399999618530273" hidden="0" customHeight="1">
      <x:c r="A94" s="309" t="n">
        <x:v>93</x:v>
      </x:c>
      <x:c r="B94" s="309" t="str">
        <x:v>Когда нужно начинать отсчёт числа ходов насоса при закачке раствора задавочной плотности?</x:v>
      </x:c>
      <x:c r="C94" s="309" t="str">
        <x:v>С момента запуска насоса.</x:v>
      </x:c>
      <x:c r="D94" s="309" t="str">
        <x:v>После поступления раствора в бурильные трубы.</x:v>
      </x:c>
      <x:c r="E94" s="309" t="str">
        <x:v>Через 30 сек после запуска насоса.</x:v>
      </x:c>
      <x:c r="F94" s="309" t="str"/>
      <x:c r="G94" s="309" t="str"/>
      <x:c r="H94" s="309" t="str"/>
      <x:c r="I94" s="311" t="str">
        <x:v>B</x:v>
      </x:c>
      <x:c r="J94" s="311" t="str">
        <x:v>После поступления раствора в бурильные трубы.</x:v>
      </x:c>
    </x:row>
    <x:row r="95" ht="39.599998474121094" hidden="0" customHeight="1">
      <x:c r="A95" s="309" t="n">
        <x:v>94</x:v>
      </x:c>
      <x:c r="B95" s="309" t="str">
        <x:v>Что Вы сделаете по спасению скважины, если во время вымыва флюида из скважины при ликвидации ГНВП порвёт буровой шланг или нарушится герметичность грязевой трубы вертлюга?</x:v>
      </x:c>
      <x:c r="C95" s="309" t="str">
        <x:v>Закроете задвижку на манифольде стояка.</x:v>
      </x:c>
      <x:c r="D95" s="309" t="str">
        <x:v>Закроете превентор со срезными плашками.</x:v>
      </x:c>
      <x:c r="E95" s="309" t="str">
        <x:v>Закроете шаровый кран колонны бурильных труб, затем закроете дроссель.</x:v>
      </x:c>
      <x:c r="F95" s="309" t="str">
        <x:v>Немедленно навернете обратный клапан, для того чтобы остановить поступление флюида.</x:v>
      </x:c>
      <x:c r="G95" s="309" t="str"/>
      <x:c r="H95" s="309" t="str"/>
      <x:c r="I95" s="311" t="str">
        <x:v>C</x:v>
      </x:c>
      <x:c r="J95" s="311" t="str">
        <x:v>Закроете шаровый кран колонны бурильных труб, затем закроете дроссель.</x:v>
      </x:c>
    </x:row>
    <x:row r="96" ht="39.599998474121094" hidden="0" customHeight="1">
      <x:c r="A96" s="309" t="n">
        <x:v>95</x:v>
      </x:c>
      <x:c r="B96" s="309" t="str">
        <x:v>Укажите вероятную причину создания нештатной ситуации при ликвидации ГНВП, если давления в бурильных трубах и затрубном пространстве повышаются:</x:v>
      </x:c>
      <x:c r="C96" s="309" t="str">
        <x:v>Частичная закупорка (засорение дросселя).</x:v>
      </x:c>
      <x:c r="D96" s="309" t="str">
        <x:v>Частичный промыв дросселя.</x:v>
      </x:c>
      <x:c r="E96" s="309" t="str">
        <x:v>Закупорка (засорение) насадки долота.</x:v>
      </x:c>
      <x:c r="F96" s="309" t="str">
        <x:v>Промыв бурильной колонны, промыв насадок долота.</x:v>
      </x:c>
      <x:c r="G96" s="309" t="str">
        <x:v>Частичное поглощение бурового раствора.</x:v>
      </x:c>
      <x:c r="H96" s="309" t="str"/>
      <x:c r="I96" s="311" t="str">
        <x:v>A</x:v>
      </x:c>
      <x:c r="J96" s="311" t="str">
        <x:v>Частичная закупорка (засорение дросселя).</x:v>
      </x:c>
    </x:row>
    <x:row r="97" ht="39.599998474121094" hidden="0" customHeight="1">
      <x:c r="A97" s="309" t="n">
        <x:v>96</x:v>
      </x:c>
      <x:c r="B97" s="309" t="str">
        <x:v>Укажите вероятную причину создания нештатной ситуации при ликвидации ГНВП, если давления в бурильных трубах и затрубном пространстве понижаются:</x:v>
      </x:c>
      <x:c r="C97" s="309" t="str">
        <x:v>Частичная закупорка (засорение дросселя).</x:v>
      </x:c>
      <x:c r="D97" s="309" t="str">
        <x:v>Частичный промыв дросселя.</x:v>
      </x:c>
      <x:c r="E97" s="309" t="str">
        <x:v>Закупорка (засорение) насадки долота.</x:v>
      </x:c>
      <x:c r="F97" s="309" t="str">
        <x:v>Промыв бурильной колонны, промыв насадок долота.</x:v>
      </x:c>
      <x:c r="G97" s="309" t="str">
        <x:v>Частичное поглощение бурового раствора.</x:v>
      </x:c>
      <x:c r="H97" s="309" t="str"/>
      <x:c r="I97" s="311" t="str">
        <x:v>B</x:v>
      </x:c>
      <x:c r="J97" s="311" t="str">
        <x:v>Частичный промыв дросселя.</x:v>
      </x:c>
    </x:row>
    <x:row r="98" ht="39.599998474121094" hidden="0" customHeight="1">
      <x:c r="A98" s="309" t="n">
        <x:v>97</x:v>
      </x:c>
      <x:c r="B98" s="309" t="str">
        <x:v>Укажите вероятную причину создания нештатной ситуации при ликвидации ГНВП, если давление в бурильных трубах повышается, а в затрубном пространстве не изменяется:</x:v>
      </x:c>
      <x:c r="C98" s="309" t="str">
        <x:v>Частичная закупорка (засорение дросселя).</x:v>
      </x:c>
      <x:c r="D98" s="309" t="str">
        <x:v>Частичный промыв дросселя.</x:v>
      </x:c>
      <x:c r="E98" s="309" t="str">
        <x:v>Закупорка (засорение) насадки долота.</x:v>
      </x:c>
      <x:c r="F98" s="309" t="str">
        <x:v>Промыв бурильной колонны, промыв насадок долота.</x:v>
      </x:c>
      <x:c r="G98" s="309" t="str">
        <x:v>Частичное поглощение бурового раствора.</x:v>
      </x:c>
      <x:c r="H98" s="309" t="str"/>
      <x:c r="I98" s="311" t="str">
        <x:v>C</x:v>
      </x:c>
      <x:c r="J98" s="311" t="str">
        <x:v>Закупорка (засорение) насадки долота.</x:v>
      </x:c>
    </x:row>
    <x:row r="99" ht="39.599998474121094" hidden="0" customHeight="1">
      <x:c r="A99" s="309" t="n">
        <x:v>98</x:v>
      </x:c>
      <x:c r="B99" s="309" t="str">
        <x:v>Укажите вероятную причину создания нештатной ситуации при ликвидации ГНВП, если давление в бурильных трубах понижается, а в затрубном пространстве не изменяется:</x:v>
      </x:c>
      <x:c r="C99" s="309" t="str">
        <x:v>Частичная закупорка (засорение дросселя).</x:v>
      </x:c>
      <x:c r="D99" s="309" t="str">
        <x:v>Частичный промыв дросселя.</x:v>
      </x:c>
      <x:c r="E99" s="309" t="str">
        <x:v>Закупорка (засорение) насадки долота.</x:v>
      </x:c>
      <x:c r="F99" s="309" t="str">
        <x:v>Промыв бурильной колонны, промыв насадок долота.</x:v>
      </x:c>
      <x:c r="G99" s="309" t="str">
        <x:v>Частичное поглощение бурового раствора.</x:v>
      </x:c>
      <x:c r="H99" s="309" t="str"/>
      <x:c r="I99" s="311" t="str">
        <x:v>D</x:v>
      </x:c>
      <x:c r="J99" s="311" t="str">
        <x:v>Промыв бурильной колонны, промыв насадок долота.</x:v>
      </x:c>
    </x:row>
    <x:row r="100" ht="52.79999923706055" hidden="0" customHeight="1">
      <x:c r="A100" s="309" t="n">
        <x:v>99</x:v>
      </x:c>
      <x:c r="B100" s="309" t="str">
        <x:v>Укажите вероятную причину создания нештатной ситуации при ликвидации ГНВП, если давления в бурильных трубах и затрубном пространстве понижаются и наблюдается снижение уровня раствора в ёмкостях:</x:v>
      </x:c>
      <x:c r="C100" s="309" t="str">
        <x:v>Частичная закупорка (засорение дросселя).</x:v>
      </x:c>
      <x:c r="D100" s="309" t="str">
        <x:v>Частичный промыв дросселя.</x:v>
      </x:c>
      <x:c r="E100" s="309" t="str">
        <x:v>Закупорка (засорение) насадки долота.</x:v>
      </x:c>
      <x:c r="F100" s="309" t="str">
        <x:v>Промыв бурильной колонны, промыв насадок долота.</x:v>
      </x:c>
      <x:c r="G100" s="309" t="str">
        <x:v>Частичное поглощение бурового раствора.</x:v>
      </x:c>
      <x:c r="H100" s="309" t="str"/>
      <x:c r="I100" s="311" t="str">
        <x:v>E</x:v>
      </x:c>
      <x:c r="J100" s="311" t="str">
        <x:v>Частичное поглощение бурового раствора.</x:v>
      </x:c>
    </x:row>
    <x:row r="101" ht="118.80000305175781" hidden="0" customHeight="1">
      <x:c r="A101" s="309" t="n">
        <x:v>100</x:v>
      </x:c>
      <x:c r="B101" s="309" t="str">
        <x:v>Каковы ваши первоочередные действия при обнаружении интенсивного грифона или неконтролируемого газопроявления выше коренной задвижки?</x:v>
      </x:c>
      <x:c r="C101" s="309" t="str">
        <x:v>Сообщить об аварии на пульт, руководству цеха (промысла), принять меры по предотвращению возгорания фонтанирующей струи и взрыва газа в местах его скопления, для чего устранить возможные источники огня (заглушить ДВС, отключить силовые и осветительные линии электропитания и т.п.).</x:v>
      </x:c>
      <x:c r="D101" s="309" t="str">
        <x:v>Перекрыть движение в опасной зоне, установить предупреждающие знаки, обесточить оборудование, сообщить о случившемся в диспетчерскую.</x:v>
      </x:c>
      <x:c r="E101" s="309" t="str">
        <x:v>Сообщить о случившемся непосредственному руководителю, в военизированную часть ООО «Газпром газобезопасность» и ООО «Газпром газнадзор».</x:v>
      </x:c>
      <x:c r="F101" s="309" t="str"/>
      <x:c r="G101" s="309" t="str"/>
      <x:c r="H101" s="309" t="str"/>
      <x:c r="I101" s="311" t="str">
        <x:v>A</x:v>
      </x:c>
      <x:c r="J101" s="311" t="str">
        <x:v>Сообщить об аварии на пульт, руководству цеха (промысла), принять меры по предотвращению возгорания фонтанирующей струи и взрыва газа в местах его скопления, для чего устранить возможные источники огня (заглушить ДВС, отключить силовые и осветительные линии электропитания и т.п.).</x:v>
      </x:c>
    </x:row>
    <x:row r="102" ht="26.399999618530273" hidden="0" customHeight="1">
      <x:c r="A102" s="309" t="n">
        <x:v>101</x:v>
      </x:c>
      <x:c r="B102" s="309" t="str">
        <x:v>Укажите геологическую причину ГНВП:</x:v>
      </x:c>
      <x:c r="C102" s="309" t="str">
        <x:v>Несоответствие пластового давления глубине залегания залежи</x:v>
      </x:c>
      <x:c r="D102" s="309" t="str">
        <x:v>Несоответствие плотности бурового раствора проекту</x:v>
      </x:c>
      <x:c r="E102" s="309" t="str">
        <x:v>Разгазирование бурового раствора</x:v>
      </x:c>
      <x:c r="F102" s="309" t="str"/>
      <x:c r="G102" s="309" t="str"/>
      <x:c r="H102" s="309" t="str"/>
      <x:c r="I102" s="311" t="str">
        <x:v>A</x:v>
      </x:c>
      <x:c r="J102" s="311" t="str">
        <x:v>Несоответствие пластового давления глубине залегания залежи</x:v>
      </x:c>
    </x:row>
    <x:row r="103" ht="26.399999618530273" hidden="0" customHeight="1">
      <x:c r="A103" s="309" t="n">
        <x:v>102</x:v>
      </x:c>
      <x:c r="B103" s="309" t="str">
        <x:v>Для чего служит пакер в скважине?</x:v>
      </x:c>
      <x:c r="C103" s="309" t="str">
        <x:v>Для регулировки давления в скважине</x:v>
      </x:c>
      <x:c r="D103" s="309" t="str">
        <x:v>Для предупреждения открытого фонтана</x:v>
      </x:c>
      <x:c r="E103" s="309" t="str">
        <x:v>Для разобщения трубного и затрубного пространств</x:v>
      </x:c>
      <x:c r="F103" s="309" t="str">
        <x:v>Для возможности управлять скважиной</x:v>
      </x:c>
      <x:c r="G103" s="309" t="str"/>
      <x:c r="H103" s="309" t="str"/>
      <x:c r="I103" s="311" t="str">
        <x:v>C</x:v>
      </x:c>
      <x:c r="J103" s="311" t="str">
        <x:v>Для разобщения трубного и затрубного пространств</x:v>
      </x:c>
    </x:row>
    <x:row r="104" ht="26.399999618530273" hidden="0" customHeight="1">
      <x:c r="A104" s="309" t="n">
        <x:v>103</x:v>
      </x:c>
      <x:c r="B104" s="309" t="str">
        <x:v>Для обвязки скольких обсадных колонн предназначена колонная головка ОКК-2?</x:v>
      </x:c>
      <x:c r="C104" s="309" t="str">
        <x:v>Кондуктор + эксплуатационная колонна</x:v>
      </x:c>
      <x:c r="D104" s="309" t="str">
        <x:v>Две промежуточные колонны + эксплуатационная колонна</x:v>
      </x:c>
      <x:c r="E104" s="309" t="str">
        <x:v>Кондуктор, промежуточная и эксплуатационная колонна</x:v>
      </x:c>
      <x:c r="F104" s="309" t="str">
        <x:v>Кондуктор, промежуточная, эксплуатационная и потайная колонна</x:v>
      </x:c>
      <x:c r="G104" s="309" t="str"/>
      <x:c r="H104" s="309" t="str"/>
      <x:c r="I104" s="311" t="str">
        <x:v>C</x:v>
      </x:c>
      <x:c r="J104" s="311" t="str">
        <x:v>Кондуктор, промежуточная и эксплуатационная колонна</x:v>
      </x:c>
    </x:row>
    <x:row r="105" ht="26.399999618530273" hidden="0" customHeight="1">
      <x:c r="A105" s="309" t="n">
        <x:v>104</x:v>
      </x:c>
      <x:c r="B105" s="309" t="str">
        <x:v>На какое давление опрессовываются уплотнительные узлы колонной головки?</x:v>
      </x:c>
      <x:c r="C105" s="309" t="str">
        <x:v>На давление опрессовки герметизирующей колонны</x:v>
      </x:c>
      <x:c r="D105" s="309" t="str">
        <x:v>На давление опрессовки предыдущей колонны</x:v>
      </x:c>
      <x:c r="E105" s="309" t="str">
        <x:v>На величину рабочего давления для данной КГ</x:v>
      </x:c>
      <x:c r="F105" s="309" t="str">
        <x:v>На давление опрессовки последней спущенной обсадной колонны</x:v>
      </x:c>
      <x:c r="G105" s="309" t="str"/>
      <x:c r="H105" s="309" t="str"/>
      <x:c r="I105" s="311" t="str">
        <x:v>D</x:v>
      </x:c>
      <x:c r="J105" s="311" t="str">
        <x:v>На давление опрессовки последней спущенной обсадной колонны</x:v>
      </x:c>
    </x:row>
    <x:row r="106" ht="105.5999984741211" hidden="0" customHeight="1">
      <x:c r="A106" s="309" t="n">
        <x:v>105</x:v>
      </x:c>
      <x:c r="B106" s="309" t="str">
        <x:v>Дайте правильную расшифровку колонной головке типа ОКК1-210-219x324?</x:v>
      </x:c>
      <x:c r="C106" s="309" t="str">
        <x:v>О - обвязка,
К - колонная,
К - клиновая,
1 - на клинья подвешена одна колонна,
210 - рабочее давление,
219 - диаметр эксплуатационной колонны,
324 - диаметр кондуктора</x:v>
      </x:c>
      <x:c r="D106" s="309" t="str">
        <x:v>О - обвязка,
К - колонная,
К - клиновая,
1 - на клинья подвешена одна колонна,
210 - рабочее давление,
219 - диаметр эксплуатационной колонны,
324 - диаметр направления</x:v>
      </x:c>
      <x:c r="E106" s="309" t="str">
        <x:v>О - обвязка,
К - колонная,
К - клиновая,
1 - на клинья подвешена одна колонна,
210 - рабочее давление,
219 - диаметр промежуточной колонны,
324 - диаметр кондуктора</x:v>
      </x:c>
      <x:c r="F106" s="309" t="str"/>
      <x:c r="G106" s="309" t="str"/>
      <x:c r="H106" s="309" t="str"/>
      <x:c r="I106" s="311" t="str">
        <x:v>A</x:v>
      </x:c>
      <x:c r="J106" s="311" t="str">
        <x:v>О - обвязка,
К - колонная,
К - клиновая,
1 - на клинья подвешена одна колонна,
210 - рабочее давление,
219 - диаметр эксплуатационной колонны,
324 - диаметр кондуктора</x:v>
      </x:c>
    </x:row>
    <x:row r="107" ht="79.19999694824219" hidden="0" customHeight="1">
      <x:c r="A107" s="309" t="n">
        <x:v>106</x:v>
      </x:c>
      <x:c r="B107" s="309" t="str">
        <x:v>Укажите назначение разрядной пробки в задвижках</x:v>
      </x:c>
      <x:c r="C107" s="309" t="str">
        <x:v>Для снижения давления в различных полостях задвижек, для контроля за набивкой смазкой полостей задвижки, контроля за давлением, а также набивки пасты в сальниковые узлы оборудования</x:v>
      </x:c>
      <x:c r="D107" s="309" t="str">
        <x:v>Для снижения давления в различных полостях задвижек, для контроля за набивкой смазкой полостей задвижки, контроля за давлением</x:v>
      </x:c>
      <x:c r="E107" s="309" t="str">
        <x:v>Для снижения давления в различных полостях задвижек, для контроля за набивкой смазкой полостей задвижки, а также набивки пасты в сальниковые узлы оборудования</x:v>
      </x:c>
      <x:c r="F107" s="309" t="str">
        <x:v>Для снижения давления в различных полостях задвижек, контроля за давлением, а также набивки пасты в сальниковые узлы оборудования</x:v>
      </x:c>
      <x:c r="G107" s="309" t="str"/>
      <x:c r="H107" s="309" t="str"/>
      <x:c r="I107" s="311" t="str">
        <x:v>C</x:v>
      </x:c>
      <x:c r="J107" s="311" t="str">
        <x:v>Для снижения давления в различных полостях задвижек, для контроля за набивкой смазкой полостей задвижки, а также набивки пасты в сальниковые узлы оборудования</x:v>
      </x:c>
    </x:row>
    <x:row r="108" ht="79.19999694824219" hidden="0" customHeight="1">
      <x:c r="A108" s="309" t="n">
        <x:v>107</x:v>
      </x:c>
      <x:c r="B108" s="309" t="str">
        <x:v>Основные требования при работах по нагнетанию в скважину горючих нефтепродуктов:</x:v>
      </x:c>
      <x:c r="C108" s="309" t="str">
        <x:v>ППУ – не ближе 25м от емкости, электрооборудование исполнено во взрывоопасном исполнении, емкость располагается не менее чем в 10 метрах от устья скважины с наветренной стороны!</x:v>
      </x:c>
      <x:c r="D108" s="309" t="str">
        <x:v>ППУ – не ближе 20м от емкости, электрооборудование исполнено во взрывоопасном исполнении, емкость располагается не менее чем в 10 метрах от устья скважины с наветренной стороны</x:v>
      </x:c>
      <x:c r="E108" s="309" t="str"/>
      <x:c r="F108" s="309" t="str"/>
      <x:c r="G108" s="309" t="str"/>
      <x:c r="H108" s="309" t="str"/>
      <x:c r="I108" s="311" t="str">
        <x:v>A</x:v>
      </x:c>
      <x:c r="J108" s="311" t="str">
        <x:v>ППУ – не ближе 25м от емкости, электрооборудование исполнено во взрывоопасном исполнении, емкость располагается не менее чем в 10 метрах от устья скважины с наветренной стороны!</x:v>
      </x:c>
    </x:row>
    <x:row r="109" ht="39.599998474121094" hidden="0" customHeight="1">
      <x:c r="A109" s="309" t="n">
        <x:v>108</x:v>
      </x:c>
      <x:c r="B109" s="309" t="str">
        <x:v>Какая из этих причин ГНВП организационная?</x:v>
      </x:c>
      <x:c r="C109" s="309" t="str">
        <x:v>Несоблюдение графика обследования скважин в связи со сложными климатическими условиями</x:v>
      </x:c>
      <x:c r="D109" s="309" t="str">
        <x:v>Несоблюдение графика обследования скважин</x:v>
      </x:c>
      <x:c r="E109" s="309" t="str"/>
      <x:c r="F109" s="309" t="str"/>
      <x:c r="G109" s="309" t="str"/>
      <x:c r="H109" s="309" t="str"/>
      <x:c r="I109" s="311" t="str">
        <x:v>B</x:v>
      </x:c>
      <x:c r="J109" s="311" t="str">
        <x:v>Несоблюдение графика обследования скважин</x:v>
      </x:c>
    </x:row>
    <x:row r="110" ht="52.79999923706055" hidden="0" customHeight="1">
      <x:c r="A110" s="309" t="n">
        <x:v>109</x:v>
      </x:c>
      <x:c r="B110" s="309" t="str">
        <x:v>При оказании ПДМП следует руководствоваться следующими принципами:</x:v>
      </x:c>
      <x:c r="C110" s="309" t="str">
        <x:v>Правильностью и целесообразностью, знание основ работы в экстремальных условиях;</x:v>
      </x:c>
      <x:c r="D110" s="309" t="str">
        <x:v>Обдуманностью и решительностью, эмоциональная устойчивость, своевременное оказание самопомощи;</x:v>
      </x:c>
      <x:c r="E110" s="309" t="str">
        <x:v>Правильностью и целесообразностью, обдуманностью и решительностью, качественное оказание помощи;</x:v>
      </x:c>
      <x:c r="F110" s="309" t="str">
        <x:v>Смелость и решительность, предвидение возникающих осложнений, своевременность госпитализации пострадавшего</x:v>
      </x:c>
      <x:c r="G110" s="309" t="str"/>
      <x:c r="H110" s="309" t="str"/>
      <x:c r="I110" s="311" t="str">
        <x:v>C</x:v>
      </x:c>
      <x:c r="J110" s="311" t="str">
        <x:v>Правильностью и целесообразностью, обдуманностью и решительностью, качественное оказание помощи;</x:v>
      </x:c>
    </x:row>
    <x:row r="111" ht="26.399999618530273" hidden="0" customHeight="1">
      <x:c r="A111" s="309" t="n">
        <x:v>110</x:v>
      </x:c>
      <x:c r="B111" s="309" t="str">
        <x:v>При проведении искусственной вентиляции легких объём вдуваемого воздуха в легкие пострадавшего должен составлять:</x:v>
      </x:c>
      <x:c r="C111" s="309" t="str">
        <x:v>0,3 - 0,5 литра</x:v>
      </x:c>
      <x:c r="D111" s="309" t="str">
        <x:v>0,5 - 0,7 литра</x:v>
      </x:c>
      <x:c r="E111" s="309" t="str">
        <x:v>1,5 - 2 литра</x:v>
      </x:c>
      <x:c r="F111" s="309" t="str">
        <x:v>0,8 - 1,2 литра</x:v>
      </x:c>
      <x:c r="G111" s="309" t="str"/>
      <x:c r="H111" s="309" t="str"/>
      <x:c r="I111" s="311" t="str">
        <x:v>D</x:v>
      </x:c>
      <x:c r="J111" s="311" t="str">
        <x:v>0,8 - 1,2 литра</x:v>
      </x:c>
    </x:row>
    <x:row r="112" ht="39.599998474121094" hidden="0" customHeight="1">
      <x:c r="A112" s="309" t="n">
        <x:v>111</x:v>
      </x:c>
      <x:c r="B112" s="309" t="str">
        <x:v>В какой последовательности следует оказывать помощь пострадавшему, если у него отсутствует сознание, прекратилось дыхание и сердечная деятельность?</x:v>
      </x:c>
      <x:c r="C112" s="309" t="str">
        <x:v>Наружный массаж сердца, освобождение дыхательных путей, ИВЛ</x:v>
      </x:c>
      <x:c r="D112" s="309" t="str">
        <x:v>Освобождение дыхательных путей, ИВЛ, наружный массаж сердца</x:v>
      </x:c>
      <x:c r="E112" s="309" t="str">
        <x:v>ИВЛ, наружный массаж сердца, освобождение дыхательных путей</x:v>
      </x:c>
      <x:c r="F112" s="309" t="str">
        <x:v>Наружный массаж сердца, ИВЛ, освобождение дыхательных путей</x:v>
      </x:c>
      <x:c r="G112" s="309" t="str"/>
      <x:c r="H112" s="309" t="str"/>
      <x:c r="I112" s="311" t="str">
        <x:v>B</x:v>
      </x:c>
      <x:c r="J112" s="311" t="str">
        <x:v>Освобождение дыхательных путей, ИВЛ, наружный массаж сердца</x:v>
      </x:c>
    </x:row>
    <x:row r="113" ht="26.399999618530273" hidden="0" customHeight="1">
      <x:c r="A113" s="309" t="n">
        <x:v>112</x:v>
      </x:c>
      <x:c r="B113" s="309" t="str">
        <x:v>Пропуски газа по фланцевому соединению ниже коренной задвижки – это...</x:v>
      </x:c>
      <x:c r="C113" s="309" t="str">
        <x:v>Косвенный признак ГНВП</x:v>
      </x:c>
      <x:c r="D113" s="309" t="str">
        <x:v>Открытый фонтан</x:v>
      </x:c>
      <x:c r="E113" s="309" t="str">
        <x:v>Прямой признак ГНВП</x:v>
      </x:c>
      <x:c r="F113" s="309" t="str">
        <x:v>Так должно быть</x:v>
      </x:c>
      <x:c r="G113" s="309" t="str"/>
      <x:c r="H113" s="309" t="str"/>
      <x:c r="I113" s="311" t="str">
        <x:v>B</x:v>
      </x:c>
      <x:c r="J113" s="311" t="str">
        <x:v>Открытый фонтан</x:v>
      </x:c>
    </x:row>
    <x:row r="114" ht="39.599998474121094" hidden="0" customHeight="1">
      <x:c r="A114" s="309" t="n">
        <x:v>113</x:v>
      </x:c>
      <x:c r="B114" s="309" t="str">
        <x:v>Какое давление будет постоянным в процессе миграции газовой пачки в закрытой скважине?</x:v>
      </x:c>
      <x:c r="C114" s="309" t="str">
        <x:v>Давление в газовой пачке, забойное давление</x:v>
      </x:c>
      <x:c r="D114" s="309" t="str">
        <x:v>Давление в газовой пачке, пластовое давление, избыточное трубное давление</x:v>
      </x:c>
      <x:c r="E114" s="309" t="str">
        <x:v>Давление в газовой пачке</x:v>
      </x:c>
      <x:c r="F114" s="309" t="str"/>
      <x:c r="G114" s="309" t="str"/>
      <x:c r="H114" s="309" t="str"/>
      <x:c r="I114" s="311" t="str">
        <x:v>C</x:v>
      </x:c>
      <x:c r="J114" s="311" t="str">
        <x:v>Давление в газовой пачке</x:v>
      </x:c>
    </x:row>
    <x:row r="115" ht="39.599998474121094" hidden="0" customHeight="1">
      <x:c r="A115" s="309" t="n">
        <x:v>114</x:v>
      </x:c>
      <x:c r="B115" s="309" t="str">
        <x:v>В каких случаях разрешается эксплуатация оборудования с нарушением инструкции по эксплуатации?</x:v>
      </x:c>
      <x:c r="C115" s="309" t="str">
        <x:v>Разрешается, если применяемое оборудование прошло сертификацию в Ростехнадзоре</x:v>
      </x:c>
      <x:c r="D115" s="309" t="str">
        <x:v>Если есть письменное распоряжение начальника ГП(цеха)</x:v>
      </x:c>
      <x:c r="E115" s="309" t="str">
        <x:v>Запрещается</x:v>
      </x:c>
      <x:c r="F115" s="309" t="str">
        <x:v>Запрещается, если существует опасность возникновения аварийной ситуации на газопроводе</x:v>
      </x:c>
      <x:c r="G115" s="309" t="str"/>
      <x:c r="H115" s="309" t="str"/>
      <x:c r="I115" s="311" t="str">
        <x:v>C</x:v>
      </x:c>
      <x:c r="J115" s="311" t="str">
        <x:v>Запрещается</x:v>
      </x:c>
    </x:row>
    <x:row r="116" ht="52.79999923706055" hidden="0" customHeight="1">
      <x:c r="A116" s="309" t="n">
        <x:v>115</x:v>
      </x:c>
      <x:c r="B116" s="309" t="str">
        <x:v>Какие требования предъявляются к переносным светильникам, применяемым при газоопасных работах, связанных с возможным выделением взрывоопасных продуктов?</x:v>
      </x:c>
      <x:c r="C116" s="309" t="str">
        <x:v>1. Применяются взрывозащищенные переносные светильники напряжением не выше 12В</x:v>
      </x:c>
      <x:c r="D116" s="309" t="str">
        <x:v>2. Применяются аккумуляторные лампы, соответствующие по исполнению категории и группе взрывоопасной смеси</x:v>
      </x:c>
      <x:c r="E116" s="309" t="str">
        <x:v>3. Применяются взрывозащищенные переносные светильники напряжением не выше 36В</x:v>
      </x:c>
      <x:c r="F116" s="309" t="str">
        <x:v>4. Перечисленные в ответах 1 и 2</x:v>
      </x:c>
      <x:c r="G116" s="309" t="str">
        <x:v>5. Перечисленные в ответах 2 и 3</x:v>
      </x:c>
      <x:c r="H116" s="309" t="str"/>
      <x:c r="I116" s="311" t="str">
        <x:v>D</x:v>
      </x:c>
      <x:c r="J116" s="311" t="str">
        <x:v>4. Перечисленные в ответах 1 и 2</x:v>
      </x:c>
    </x:row>
    <x:row r="117" ht="52.79999923706055" hidden="0" customHeight="1">
      <x:c r="A117" s="309" t="n">
        <x:v>116</x:v>
      </x:c>
      <x:c r="B117" s="309" t="str">
        <x:v>Какие требования предъявляются к выполнению газоопасных работ, не включенных в перечень?</x:v>
      </x:c>
      <x:c r="C117" s="309" t="str">
        <x:v>1. Выполняются по наряду-допуску в соответствии с требованиями инструкции по безопасному производству газоопасных работ</x:v>
      </x:c>
      <x:c r="D117" s="309" t="str">
        <x:v>2. Выполняются без наряда-допуска, но с записью в специальном журнале</x:v>
      </x:c>
      <x:c r="E117" s="309" t="str">
        <x:v>3. Условие 1, а также с последующим внесением их в 10-дневный срок в перечень газоопасных работ</x:v>
      </x:c>
      <x:c r="F117" s="309" t="str">
        <x:v>4. Могут выполняться по наряду-допуску и без наряда-допуска, но с соответствующей записью в специальном журнале</x:v>
      </x:c>
      <x:c r="G117" s="309" t="str"/>
      <x:c r="H117" s="309" t="str"/>
      <x:c r="I117" s="311" t="str">
        <x:v>C</x:v>
      </x:c>
      <x:c r="J117" s="311" t="str">
        <x:v>3. Условие 1, а также с последующим внесением их в 10-дневный срок в перечень газоопасных работ</x:v>
      </x:c>
    </x:row>
    <x:row r="118" ht="66" hidden="0" customHeight="1">
      <x:c r="A118" s="309" t="n">
        <x:v>117</x:v>
      </x:c>
      <x:c r="B118" s="309" t="str">
        <x:v>Назовите обязанности ответственного за проведение газоопасной работы.</x:v>
      </x:c>
      <x:c r="C118" s="309" t="str">
        <x:v>1. Совместно с ответственным за подготовку проверить полноту выполнения подготовительных мероприятий, готовность объекта к проведению работ</x:v>
      </x:c>
      <x:c r="D118" s="309" t="str">
        <x:v>2. Проверить у исполнителей наличие и исправность средств индивидуальной защиты, инструмента и приспособлений, их соответствие характеру выполняемых работ</x:v>
      </x:c>
      <x:c r="E118" s="309" t="str">
        <x:v>3. Провести инструктаж исполнителей о правилах безопасного ведения работ и порядке эвакуации пострадавшего из опасной зоны</x:v>
      </x:c>
      <x:c r="F118" s="309" t="str">
        <x:v>4. Сообщить службе техники безопасности о готовности и исполнителей к производству работ</x:v>
      </x:c>
      <x:c r="G118" s="309" t="str">
        <x:v>5. Перечисленное выше</x:v>
      </x:c>
      <x:c r="H118" s="309" t="str"/>
      <x:c r="I118" s="311" t="str">
        <x:v>E</x:v>
      </x:c>
      <x:c r="J118" s="311" t="str">
        <x:v>5. Перечисленное выше</x:v>
      </x:c>
    </x:row>
    <x:row r="119" ht="66" hidden="0" customHeight="1">
      <x:c r="A119" s="309" t="n">
        <x:v>118</x:v>
      </x:c>
      <x:c r="B119" s="309" t="str">
        <x:v>Разрешается ли входить в газоопасную зону?</x:v>
      </x:c>
      <x:c r="C119" s="309" t="str">
        <x:v>Не разрешается</x:v>
      </x:c>
      <x:c r="D119" s="309" t="str">
        <x:v>Разрешается</x:v>
      </x:c>
      <x:c r="E119" s="309" t="str">
        <x:v>Разрешается, но только с разрешения руководителя работ</x:v>
      </x:c>
      <x:c r="F119" s="309" t="str">
        <x:v>Разрешается, но только с разрешение ответственного за проведение газоопасных работ, в соответствующих средствах защиты, надетых за пределами опасной зоны</x:v>
      </x:c>
      <x:c r="G119" s="309" t="str">
        <x:v>Разрешается, но только в изолирующих противогазах</x:v>
      </x:c>
      <x:c r="H119" s="309" t="str"/>
      <x:c r="I119" s="311" t="str">
        <x:v>D</x:v>
      </x:c>
      <x:c r="J119" s="311" t="str">
        <x:v>Разрешается, но только с разрешение ответственного за проведение газоопасных работ, в соответствующих средствах защиты, надетых за пределами опасной зоны</x:v>
      </x:c>
    </x:row>
    <x:row r="120" ht="39.599998474121094" hidden="0" customHeight="1">
      <x:c r="A120" s="309" t="n">
        <x:v>119</x:v>
      </x:c>
      <x:c r="B120" s="309" t="str">
        <x:v>Отсутствие проведения регулярных учебно-тренировочных занятий по усвоению действий при ГНВП – это какая из перечисленных причин возможного ГНВП?</x:v>
      </x:c>
      <x:c r="C120" s="309" t="str">
        <x:v>Организационно-технологическая причина</x:v>
      </x:c>
      <x:c r="D120" s="309" t="str">
        <x:v>Организационная причина</x:v>
      </x:c>
      <x:c r="E120" s="309" t="str">
        <x:v>Организационно-техническая причина</x:v>
      </x:c>
      <x:c r="F120" s="309" t="str"/>
      <x:c r="G120" s="309" t="str"/>
      <x:c r="H120" s="309" t="str"/>
      <x:c r="I120" s="311" t="str">
        <x:v>B</x:v>
      </x:c>
      <x:c r="J120" s="311" t="str">
        <x:v>Организационная причина</x:v>
      </x:c>
    </x:row>
    <x:row r="121" ht="105.5999984741211" hidden="0" customHeight="1">
      <x:c r="A121" s="309" t="n">
        <x:v>120</x:v>
      </x:c>
      <x:c r="B121" s="309" t="str">
        <x:v>Дайте определение понятию «газонефтеводопроявление»:</x:v>
      </x:c>
      <x:c r="C121" s="309" t="str">
        <x:v>Неуправляемое истечение пластовых флюидов через устье скважины в результате отсутствия, разрушения или негерметичности запорного оборудования или вследствие грифонообразования</x:v>
      </x:c>
      <x:c r="D121" s="309" t="str">
        <x:v>Инцидент, заключающийся в поступлении пластового флюида в ствол скважины, не предусмотренный режимом технологического процесса ее строительства или ремонта, создающий опасность аварии в виде неконтролируемого выброса (открытого фонтана)</x:v>
      </x:c>
      <x:c r="E121" s="309" t="str">
        <x:v>Неуправляемое поступление пластовых флюидов в ствол скважины в результате отсутствия, разрушения или негерметичности устьевого оборудования</x:v>
      </x:c>
      <x:c r="F121" s="309" t="str"/>
      <x:c r="G121" s="309" t="str"/>
      <x:c r="H121" s="309" t="str"/>
      <x:c r="I121" s="311" t="str">
        <x:v>B</x:v>
      </x:c>
      <x:c r="J121" s="311" t="str">
        <x:v>Инцидент, заключающийся в поступлении пластового флюида в ствол скважины, не предусмотренный режимом технологического процесса ее строительства или ремонта, создающий опасность аварии в виде неконтролируемого выброса (открытого фонтана)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70" hidden="0" customWidth="1"/>
  </x:cols>
  <x:sheetData>
    <x:row r="1" ht="15" hidden="0" customHeight="1">
      <x:c r="A1" s="307" t="str">
        <x:v>№</x:v>
      </x:c>
      <x:c r="B1" s="307" t="str">
        <x:v>Правильный вариант</x:v>
      </x:c>
      <x:c r="C1" s="307" t="str">
        <x:v>Правильный ответ</x:v>
      </x:c>
    </x:row>
    <x:row r="2" ht="52.79999923706055" hidden="0" customHeight="1">
      <x:c r="A2" s="308" t="n">
        <x:v>1</x:v>
      </x:c>
      <x:c r="B2" s="313" t="str">
        <x:v>A</x:v>
      </x:c>
      <x:c r="C2" s="313" t="str">
        <x:v>Потенциальная возможность создать при ее разбуривании условия неуправляемого поступления флюида в ствол скважины, интенсивного развития ГНВП с последующим переходом его в открытое фонтанирование и оказывать воздействие на окружающую среду при возникновении фонтана.</x:v>
      </x:c>
    </x:row>
    <x:row r="3" ht="39.599998474121094" hidden="0" customHeight="1">
      <x:c r="A3" s="308" t="n">
        <x:v>2</x:v>
      </x:c>
      <x:c r="B3" s="313" t="str">
        <x:v>B</x:v>
      </x:c>
      <x:c r="C3" s="313" t="str">
        <x:v>Неуправляемое истечение пластовых флюидов через устье скважины в результате отсутствия, разрушения или негерметичности запорного оборудования или вследствие грифонообразования.</x:v>
      </x:c>
    </x:row>
    <x:row r="4" ht="15" hidden="0" customHeight="1">
      <x:c r="A4" s="308" t="n">
        <x:v>3</x:v>
      </x:c>
      <x:c r="B4" s="313" t="str">
        <x:v>A</x:v>
      </x:c>
      <x:c r="C4" s="313" t="str">
        <x:v>ΔP ≤ 0,75·(Ргрп - ρ·g·H)</x:v>
      </x:c>
    </x:row>
    <x:row r="5" ht="15" hidden="0" customHeight="1">
      <x:c r="A5" s="308" t="n">
        <x:v>4</x:v>
      </x:c>
      <x:c r="B5" s="313" t="str">
        <x:v>A</x:v>
      </x:c>
      <x:c r="C5" s="313" t="str">
        <x:v>Пластовое давление больше забойного.</x:v>
      </x:c>
    </x:row>
    <x:row r="6" ht="15" hidden="0" customHeight="1">
      <x:c r="A6" s="308" t="n">
        <x:v>5</x:v>
      </x:c>
      <x:c r="B6" s="313" t="str">
        <x:v>A</x:v>
      </x:c>
      <x:c r="C6" s="313" t="str">
        <x:v>Подача сигнала «Выброс».</x:v>
      </x:c>
    </x:row>
    <x:row r="7" ht="15" hidden="0" customHeight="1">
      <x:c r="A7" s="308" t="n">
        <x:v>6</x:v>
      </x:c>
      <x:c r="B7" s="313" t="str">
        <x:v>A</x:v>
      </x:c>
      <x:c r="C7" s="313" t="str">
        <x:v>Жесткий водонапорный режим.</x:v>
      </x:c>
    </x:row>
    <x:row r="8" ht="15" hidden="0" customHeight="1">
      <x:c r="A8" s="308" t="n">
        <x:v>7</x:v>
      </x:c>
      <x:c r="B8" s="313" t="str">
        <x:v>B</x:v>
      </x:c>
      <x:c r="C8" s="313" t="str">
        <x:v>Упруго-водонапорный режим.</x:v>
      </x:c>
    </x:row>
    <x:row r="9" ht="15" hidden="0" customHeight="1">
      <x:c r="A9" s="308" t="n">
        <x:v>8</x:v>
      </x:c>
      <x:c r="B9" s="313" t="str">
        <x:v>A</x:v>
      </x:c>
      <x:c r="C9" s="313" t="str">
        <x:v>Газоводонапорный режим.</x:v>
      </x:c>
    </x:row>
    <x:row r="10" ht="15" hidden="0" customHeight="1">
      <x:c r="A10" s="308" t="n">
        <x:v>9</x:v>
      </x:c>
      <x:c r="B10" s="313" t="str">
        <x:v>C</x:v>
      </x:c>
      <x:c r="C10" s="313" t="str">
        <x:v>Негерметичный контакт между цементным камнем и породой.</x:v>
      </x:c>
    </x:row>
    <x:row r="11" ht="26.399999618530273" hidden="0" customHeight="1">
      <x:c r="A11" s="308" t="n">
        <x:v>10</x:v>
      </x:c>
      <x:c r="B11" s="313" t="str">
        <x:v>D</x:v>
      </x:c>
      <x:c r="C11" s="313" t="str">
        <x:v>Перекрытие верхних интервалов неустойчивых отложений, предохранение устья скважины от размывания.</x:v>
      </x:c>
    </x:row>
    <x:row r="12" ht="15" hidden="0" customHeight="1">
      <x:c r="A12" s="308" t="n">
        <x:v>11</x:v>
      </x:c>
      <x:c r="B12" s="313" t="str">
        <x:v>E</x:v>
      </x:c>
      <x:c r="C12" s="313" t="str">
        <x:v>Упругий режим.</x:v>
      </x:c>
    </x:row>
    <x:row r="13" ht="26.399999618530273" hidden="0" customHeight="1">
      <x:c r="A13" s="308" t="n">
        <x:v>12</x:v>
      </x:c>
      <x:c r="B13" s="313" t="str">
        <x:v>C</x:v>
      </x:c>
      <x:c r="C13" s="313" t="str">
        <x:v>Регулирование параметров потока скважинной среды в скважинном трубопроводе, а также распределения или смешивания потоков.</x:v>
      </x:c>
    </x:row>
    <x:row r="14" ht="15" hidden="0" customHeight="1">
      <x:c r="A14" s="308" t="n">
        <x:v>13</x:v>
      </x:c>
      <x:c r="B14" s="313" t="str">
        <x:v>B</x:v>
      </x:c>
      <x:c r="C14" s="313" t="str">
        <x:v>Клапан-отсекатель.</x:v>
      </x:c>
    </x:row>
    <x:row r="15" ht="15" hidden="0" customHeight="1">
      <x:c r="A15" s="308" t="n">
        <x:v>14</x:v>
      </x:c>
      <x:c r="B15" s="313" t="str">
        <x:v>D</x:v>
      </x:c>
      <x:c r="C15" s="313" t="str">
        <x:v>0,104 атм/м</x:v>
      </x:c>
    </x:row>
    <x:row r="16" ht="15" hidden="0" customHeight="1">
      <x:c r="A16" s="308" t="n">
        <x:v>15</x:v>
      </x:c>
      <x:c r="B16" s="313" t="str">
        <x:v>A</x:v>
      </x:c>
      <x:c r="C16" s="313" t="str">
        <x:v>Мощными толщами глин.</x:v>
      </x:c>
    </x:row>
    <x:row r="17" ht="26.399999618530273" hidden="0" customHeight="1">
      <x:c r="A17" s="308" t="n">
        <x:v>16</x:v>
      </x:c>
      <x:c r="B17" s="313" t="str">
        <x:v>C</x:v>
      </x:c>
      <x:c r="C17" s="313" t="str">
        <x:v>Превышением пластового давления над давлением столба пресной воды на этой же глубине свыше 30%.</x:v>
      </x:c>
    </x:row>
    <x:row r="18" ht="15" hidden="0" customHeight="1">
      <x:c r="A18" s="308" t="n">
        <x:v>17</x:v>
      </x:c>
      <x:c r="B18" s="313" t="str">
        <x:v>C</x:v>
      </x:c>
      <x:c r="C18" s="313" t="str">
        <x:v>При повышенном давлении.</x:v>
      </x:c>
    </x:row>
    <x:row r="19" ht="15" hidden="0" customHeight="1">
      <x:c r="A19" s="308" t="n">
        <x:v>18</x:v>
      </x:c>
      <x:c r="B19" s="313" t="str">
        <x:v>B</x:v>
      </x:c>
      <x:c r="C19" s="313" t="str">
        <x:v>Не существует.</x:v>
      </x:c>
    </x:row>
    <x:row r="20" ht="26.399999618530273" hidden="0" customHeight="1">
      <x:c r="A20" s="308" t="n">
        <x:v>19</x:v>
      </x:c>
      <x:c r="B20" s="313" t="str">
        <x:v>B</x:v>
      </x:c>
      <x:c r="C20" s="313" t="str">
        <x:v>В большинстве случаев газ растворяется в растворах на нефтяной основе, поэтому быстрого повышения уровня не наблюдается.</x:v>
      </x:c>
    </x:row>
    <x:row r="21" ht="15" hidden="0" customHeight="1">
      <x:c r="A21" s="308" t="n">
        <x:v>20</x:v>
      </x:c>
      <x:c r="B21" s="313" t="str">
        <x:v>D</x:v>
      </x:c>
      <x:c r="C21" s="313" t="str">
        <x:v>7000 мг/м³</x:v>
      </x:c>
    </x:row>
    <x:row r="22" ht="15" hidden="0" customHeight="1">
      <x:c r="A22" s="308" t="n">
        <x:v>21</x:v>
      </x:c>
      <x:c r="B22" s="313" t="str">
        <x:v>A</x:v>
      </x:c>
      <x:c r="C22" s="313" t="str">
        <x:v>10 мг/м³</x:v>
      </x:c>
    </x:row>
    <x:row r="23" ht="15" hidden="0" customHeight="1">
      <x:c r="A23" s="308" t="n">
        <x:v>22</x:v>
      </x:c>
      <x:c r="B23" s="313" t="str">
        <x:v>B</x:v>
      </x:c>
      <x:c r="C23" s="313" t="str">
        <x:v>3 мг/м³</x:v>
      </x:c>
    </x:row>
    <x:row r="24" ht="15" hidden="0" customHeight="1">
      <x:c r="A24" s="308" t="n">
        <x:v>23</x:v>
      </x:c>
      <x:c r="B24" s="313" t="str">
        <x:v>A</x:v>
      </x:c>
      <x:c r="C24" s="313" t="str">
        <x:v>10 мг/м³</x:v>
      </x:c>
    </x:row>
    <x:row r="25" ht="15" hidden="0" customHeight="1">
      <x:c r="A25" s="308" t="n">
        <x:v>24</x:v>
      </x:c>
      <x:c r="B25" s="313" t="str">
        <x:v>A</x:v>
      </x:c>
      <x:c r="C25" s="313" t="str">
        <x:v>5 мг/м³</x:v>
      </x:c>
    </x:row>
    <x:row r="26" ht="15" hidden="0" customHeight="1">
      <x:c r="A26" s="308" t="n">
        <x:v>25</x:v>
      </x:c>
      <x:c r="B26" s="313" t="str">
        <x:v>B</x:v>
      </x:c>
      <x:c r="C26" s="313" t="str">
        <x:v>4,4–17 %</x:v>
      </x:c>
    </x:row>
    <x:row r="27" ht="15" hidden="0" customHeight="1">
      <x:c r="A27" s="308" t="n">
        <x:v>26</x:v>
      </x:c>
      <x:c r="B27" s="313" t="str">
        <x:v>A</x:v>
      </x:c>
      <x:c r="C27" s="313" t="str">
        <x:v>4,0–45,5 %</x:v>
      </x:c>
    </x:row>
    <x:row r="28" ht="15" hidden="0" customHeight="1">
      <x:c r="A28" s="308" t="n">
        <x:v>27</x:v>
      </x:c>
      <x:c r="B28" s="313" t="str">
        <x:v>C</x:v>
      </x:c>
      <x:c r="C28" s="313" t="str">
        <x:v>5,5–36 %</x:v>
      </x:c>
    </x:row>
    <x:row r="29" ht="15" hidden="0" customHeight="1">
      <x:c r="A29" s="308" t="n">
        <x:v>28</x:v>
      </x:c>
      <x:c r="B29" s="313" t="str">
        <x:v>A</x:v>
      </x:c>
      <x:c r="C29" s="313" t="str">
        <x:v>Опорные.</x:v>
      </x:c>
    </x:row>
    <x:row r="30" ht="15" hidden="0" customHeight="1">
      <x:c r="A30" s="308" t="n">
        <x:v>29</x:v>
      </x:c>
      <x:c r="B30" s="313" t="str">
        <x:v>B</x:v>
      </x:c>
      <x:c r="C30" s="313" t="str">
        <x:v>Структурно-поисковые.</x:v>
      </x:c>
    </x:row>
    <x:row r="31" ht="15" hidden="0" customHeight="1">
      <x:c r="A31" s="308" t="n">
        <x:v>30</x:v>
      </x:c>
      <x:c r="B31" s="313" t="str">
        <x:v>C</x:v>
      </x:c>
      <x:c r="C31" s="313" t="str">
        <x:v>Разведочные.</x:v>
      </x:c>
    </x:row>
    <x:row r="32" ht="15" hidden="0" customHeight="1">
      <x:c r="A32" s="308" t="n">
        <x:v>31</x:v>
      </x:c>
      <x:c r="B32" s="313" t="str">
        <x:v>C</x:v>
      </x:c>
      <x:c r="C32" s="313" t="str">
        <x:v>Эксплуатационные.</x:v>
      </x:c>
    </x:row>
    <x:row r="33" ht="15" hidden="0" customHeight="1">
      <x:c r="A33" s="308" t="n">
        <x:v>32</x:v>
      </x:c>
      <x:c r="B33" s="313" t="str">
        <x:v>E</x:v>
      </x:c>
      <x:c r="C33" s="313" t="str">
        <x:v>Наблюдательные.</x:v>
      </x:c>
    </x:row>
    <x:row r="34" ht="15" hidden="0" customHeight="1">
      <x:c r="A34" s="308" t="n">
        <x:v>33</x:v>
      </x:c>
      <x:c r="B34" s="313" t="str">
        <x:v>B</x:v>
      </x:c>
      <x:c r="C34" s="313" t="str">
        <x:v>Опрессовка фонтанной арматуры и противовыбросового оборудования.</x:v>
      </x:c>
    </x:row>
    <x:row r="35" ht="15" hidden="0" customHeight="1">
      <x:c r="A35" s="308" t="n">
        <x:v>34</x:v>
      </x:c>
      <x:c r="B35" s="313" t="str">
        <x:v>A</x:v>
      </x:c>
      <x:c r="C35" s="313" t="str">
        <x:v>Демонтаж (монтаж) фонтанной арматуры и противовыбросового оборудования.</x:v>
      </x:c>
    </x:row>
    <x:row r="36" ht="26.399999618530273" hidden="0" customHeight="1">
      <x:c r="A36" s="308" t="n">
        <x:v>35</x:v>
      </x:c>
      <x:c r="B36" s="313" t="str">
        <x:v>C</x:v>
      </x:c>
      <x:c r="C36" s="313" t="str">
        <x:v>Срыв пакера, извлечение подземного оборудования, прострелочно-взрывные работы.</x:v>
      </x:c>
    </x:row>
    <x:row r="37" ht="15" hidden="0" customHeight="1">
      <x:c r="A37" s="308" t="n">
        <x:v>36</x:v>
      </x:c>
      <x:c r="B37" s="313" t="str">
        <x:v>D</x:v>
      </x:c>
      <x:c r="C37" s="313" t="str">
        <x:v>Соляно-кислотная и пенная обработки.</x:v>
      </x:c>
    </x:row>
    <x:row r="38" ht="15" hidden="0" customHeight="1">
      <x:c r="A38" s="308" t="n">
        <x:v>37</x:v>
      </x:c>
      <x:c r="B38" s="313" t="str">
        <x:v>B</x:v>
      </x:c>
      <x:c r="C38" s="313" t="str">
        <x:v>Уменьшается.</x:v>
      </x:c>
    </x:row>
    <x:row r="39" ht="15" hidden="0" customHeight="1">
      <x:c r="A39" s="308" t="n">
        <x:v>38</x:v>
      </x:c>
      <x:c r="B39" s="313" t="str">
        <x:v>A</x:v>
      </x:c>
      <x:c r="C39" s="313" t="str">
        <x:v>Увеличивается.</x:v>
      </x:c>
    </x:row>
    <x:row r="40" ht="15" hidden="0" customHeight="1">
      <x:c r="A40" s="308" t="n">
        <x:v>39</x:v>
      </x:c>
      <x:c r="B40" s="313" t="str">
        <x:v>B</x:v>
      </x:c>
      <x:c r="C40" s="313" t="str">
        <x:v>Уменьшается.</x:v>
      </x:c>
    </x:row>
    <x:row r="41" ht="15" hidden="0" customHeight="1">
      <x:c r="A41" s="308" t="n">
        <x:v>40</x:v>
      </x:c>
      <x:c r="B41" s="313" t="str">
        <x:v>A</x:v>
      </x:c>
      <x:c r="C41" s="313" t="str">
        <x:v>Увеличивается.</x:v>
      </x:c>
    </x:row>
    <x:row r="42" ht="15" hidden="0" customHeight="1">
      <x:c r="A42" s="308" t="n">
        <x:v>41</x:v>
      </x:c>
      <x:c r="B42" s="313" t="str">
        <x:v>C</x:v>
      </x:c>
      <x:c r="C42" s="313" t="str">
        <x:v>2,95 МПа</x:v>
      </x:c>
    </x:row>
    <x:row r="43" ht="15" hidden="0" customHeight="1">
      <x:c r="A43" s="308" t="n">
        <x:v>42</x:v>
      </x:c>
      <x:c r="B43" s="313" t="str">
        <x:v>A</x:v>
      </x:c>
      <x:c r="C43" s="313" t="str">
        <x:v>Да.</x:v>
      </x:c>
    </x:row>
    <x:row r="44" ht="15" hidden="0" customHeight="1">
      <x:c r="A44" s="308" t="n">
        <x:v>43</x:v>
      </x:c>
      <x:c r="B44" s="313" t="str">
        <x:v>B</x:v>
      </x:c>
      <x:c r="C44" s="313" t="str">
        <x:v>16,2 м</x:v>
      </x:c>
    </x:row>
    <x:row r="45" ht="15" hidden="0" customHeight="1">
      <x:c r="A45" s="308" t="n">
        <x:v>44</x:v>
      </x:c>
      <x:c r="B45" s="313" t="str">
        <x:v>C</x:v>
      </x:c>
      <x:c r="C45" s="313" t="str">
        <x:v>В обоих случаях величина забойного давления на глубине H=3048 м одинакова.</x:v>
      </x:c>
    </x:row>
    <x:row r="46" ht="15" hidden="0" customHeight="1">
      <x:c r="A46" s="308" t="n">
        <x:v>45</x:v>
      </x:c>
      <x:c r="B46" s="313" t="str">
        <x:v>C</x:v>
      </x:c>
      <x:c r="C46" s="313" t="str">
        <x:v>0,103 атм/м</x:v>
      </x:c>
    </x:row>
    <x:row r="47" ht="15" hidden="0" customHeight="1">
      <x:c r="A47" s="308" t="n">
        <x:v>46</x:v>
      </x:c>
      <x:c r="B47" s="313" t="str">
        <x:v>C</x:v>
      </x:c>
      <x:c r="C47" s="313" t="str">
        <x:v>0,150 атм/м</x:v>
      </x:c>
    </x:row>
    <x:row r="48" ht="15" hidden="0" customHeight="1">
      <x:c r="A48" s="308" t="n">
        <x:v>47</x:v>
      </x:c>
      <x:c r="B48" s="313" t="str">
        <x:v>B</x:v>
      </x:c>
      <x:c r="C48" s="313" t="str">
        <x:v>1,601 г/см³</x:v>
      </x:c>
    </x:row>
    <x:row r="49" ht="15" hidden="0" customHeight="1">
      <x:c r="A49" s="308" t="n">
        <x:v>48</x:v>
      </x:c>
      <x:c r="B49" s="313" t="str">
        <x:v>B</x:v>
      </x:c>
      <x:c r="C49" s="313" t="str">
        <x:v>15 МПа</x:v>
      </x:c>
    </x:row>
    <x:row r="50" ht="15" hidden="0" customHeight="1">
      <x:c r="A50" s="308" t="n">
        <x:v>49</x:v>
      </x:c>
      <x:c r="B50" s="313" t="str">
        <x:v>C</x:v>
      </x:c>
      <x:c r="C50" s="313" t="str">
        <x:v>577,6 атм</x:v>
      </x:c>
    </x:row>
    <x:row r="51" ht="15" hidden="0" customHeight="1">
      <x:c r="A51" s="308" t="n">
        <x:v>50</x:v>
      </x:c>
      <x:c r="B51" s="313" t="str">
        <x:v>A</x:v>
      </x:c>
      <x:c r="C51" s="313" t="str">
        <x:v>10–15 %, но не более 15 кгс/см² (1,5 МПа).</x:v>
      </x:c>
    </x:row>
    <x:row r="52" ht="15" hidden="0" customHeight="1">
      <x:c r="A52" s="308" t="n">
        <x:v>51</x:v>
      </x:c>
      <x:c r="B52" s="313" t="str">
        <x:v>C</x:v>
      </x:c>
      <x:c r="C52" s="313" t="str">
        <x:v>4–7 %, но не более 35 кгс/см² (3,5 МПа).</x:v>
      </x:c>
    </x:row>
    <x:row r="53" ht="15" hidden="0" customHeight="1">
      <x:c r="A53" s="308" t="n">
        <x:v>52</x:v>
      </x:c>
      <x:c r="B53" s="313" t="str">
        <x:v>A</x:v>
      </x:c>
      <x:c r="C53" s="313" t="str">
        <x:v>0,5 м³</x:v>
      </x:c>
    </x:row>
    <x:row r="54" ht="15" hidden="0" customHeight="1">
      <x:c r="A54" s="308" t="n">
        <x:v>53</x:v>
      </x:c>
      <x:c r="B54" s="313" t="str">
        <x:v>B</x:v>
      </x:c>
      <x:c r="C54" s="313" t="str">
        <x:v>Более 5 %</x:v>
      </x:c>
    </x:row>
    <x:row r="55" ht="15" hidden="0" customHeight="1">
      <x:c r="A55" s="308" t="n">
        <x:v>54</x:v>
      </x:c>
      <x:c r="B55" s="313" t="str">
        <x:v>B</x:v>
      </x:c>
      <x:c r="C55" s="313" t="str">
        <x:v>10 метров</x:v>
      </x:c>
    </x:row>
    <x:row r="56" ht="15" hidden="0" customHeight="1">
      <x:c r="A56" s="308" t="n">
        <x:v>55</x:v>
      </x:c>
      <x:c r="B56" s="313" t="str">
        <x:v>B</x:v>
      </x:c>
      <x:c r="C56" s="313" t="str">
        <x:v>Слишком быстрый подъем труб.</x:v>
      </x:c>
    </x:row>
    <x:row r="57" ht="15" hidden="0" customHeight="1">
      <x:c r="A57" s="308" t="n">
        <x:v>56</x:v>
      </x:c>
      <x:c r="B57" s="313" t="str">
        <x:v>C</x:v>
      </x:c>
      <x:c r="C57" s="313" t="str">
        <x:v>Возможен эффект поршневания при СПО.</x:v>
      </x:c>
    </x:row>
    <x:row r="58" ht="15" hidden="0" customHeight="1">
      <x:c r="A58" s="308" t="n">
        <x:v>57</x:v>
      </x:c>
      <x:c r="B58" s="313" t="str">
        <x:v>B</x:v>
      </x:c>
      <x:c r="C58" s="313" t="str">
        <x:v>Постоянный долив с помощью доливной емкости.</x:v>
      </x:c>
    </x:row>
    <x:row r="59" ht="15" hidden="0" customHeight="1">
      <x:c r="A59" s="308" t="n">
        <x:v>58</x:v>
      </x:c>
      <x:c r="B59" s="313" t="str">
        <x:v>C</x:v>
      </x:c>
      <x:c r="C59" s="313" t="str">
        <x:v>Жидкость не возвращается на устье скважины.</x:v>
      </x:c>
    </x:row>
    <x:row r="60" ht="15" hidden="0" customHeight="1">
      <x:c r="A60" s="308" t="n">
        <x:v>59</x:v>
      </x:c>
      <x:c r="B60" s="313" t="str">
        <x:v>A</x:v>
      </x:c>
      <x:c r="C60" s="313" t="str">
        <x:v>Увеличиваться.</x:v>
      </x:c>
    </x:row>
    <x:row r="61" ht="15" hidden="0" customHeight="1">
      <x:c r="A61" s="308" t="n">
        <x:v>60</x:v>
      </x:c>
      <x:c r="B61" s="313" t="str">
        <x:v>B</x:v>
      </x:c>
      <x:c r="C61" s="313" t="str">
        <x:v>Уменьшаться.</x:v>
      </x:c>
    </x:row>
    <x:row r="62" ht="15" hidden="0" customHeight="1">
      <x:c r="A62" s="308" t="n">
        <x:v>61</x:v>
      </x:c>
      <x:c r="B62" s="313" t="str">
        <x:v>C</x:v>
      </x:c>
      <x:c r="C62" s="313" t="str">
        <x:v>Давление в пачке равно пластовому давлению.</x:v>
      </x:c>
    </x:row>
    <x:row r="63" ht="15" hidden="0" customHeight="1">
      <x:c r="A63" s="308" t="n">
        <x:v>62</x:v>
      </x:c>
      <x:c r="B63" s="313" t="str">
        <x:v>C</x:v>
      </x:c>
      <x:c r="C63" s="313" t="str">
        <x:v>Снизить механическую скорость проходки.</x:v>
      </x:c>
    </x:row>
    <x:row r="64" ht="15" hidden="0" customHeight="1">
      <x:c r="A64" s="308" t="n">
        <x:v>63</x:v>
      </x:c>
      <x:c r="B64" s="313" t="str">
        <x:v>C</x:v>
      </x:c>
      <x:c r="C64" s="313" t="str">
        <x:v>Высокие нагрузки на долото, вызывающие продольный изгиб бурильной колонны.</x:v>
      </x:c>
    </x:row>
    <x:row r="65" ht="15" hidden="0" customHeight="1">
      <x:c r="A65" s="308" t="n">
        <x:v>64</x:v>
      </x:c>
      <x:c r="B65" s="313" t="str">
        <x:v>C</x:v>
      </x:c>
      <x:c r="C65" s="313" t="str">
        <x:v>Промыть, подвергнуть соляно-кислотной обработке.</x:v>
      </x:c>
    </x:row>
    <x:row r="66" ht="15" hidden="0" customHeight="1">
      <x:c r="A66" s="308" t="n">
        <x:v>65</x:v>
      </x:c>
      <x:c r="B66" s="313" t="str">
        <x:v>A</x:v>
      </x:c>
      <x:c r="C66" s="313" t="str">
        <x:v>Верно.</x:v>
      </x:c>
    </x:row>
    <x:row r="67" ht="15" hidden="0" customHeight="1">
      <x:c r="A67" s="308" t="n">
        <x:v>66</x:v>
      </x:c>
      <x:c r="B67" s="313" t="str">
        <x:v>A</x:v>
      </x:c>
      <x:c r="C67" s="313" t="str">
        <x:v>Увеличиваться.</x:v>
      </x:c>
    </x:row>
    <x:row r="68" ht="15" hidden="0" customHeight="1">
      <x:c r="A68" s="308" t="n">
        <x:v>67</x:v>
      </x:c>
      <x:c r="B68" s="313" t="str">
        <x:v>A</x:v>
      </x:c>
      <x:c r="C68" s="313" t="str">
        <x:v>ООО «Газпром газобезопасность».</x:v>
      </x:c>
    </x:row>
    <x:row r="69" ht="15" hidden="0" customHeight="1">
      <x:c r="A69" s="308" t="n">
        <x:v>68</x:v>
      </x:c>
      <x:c r="B69" s="313" t="str">
        <x:v>C</x:v>
      </x:c>
      <x:c r="C69" s="313" t="str">
        <x:v>Будут расти одинаково.</x:v>
      </x:c>
    </x:row>
    <x:row r="70" ht="15" hidden="0" customHeight="1">
      <x:c r="A70" s="308" t="n">
        <x:v>69</x:v>
      </x:c>
      <x:c r="B70" s="313" t="str">
        <x:v>A</x:v>
      </x:c>
      <x:c r="C70" s="313" t="str">
        <x:v>Увеличиваться.</x:v>
      </x:c>
    </x:row>
    <x:row r="71" ht="15" hidden="0" customHeight="1">
      <x:c r="A71" s="308" t="n">
        <x:v>70</x:v>
      </x:c>
      <x:c r="B71" s="313" t="str">
        <x:v>B</x:v>
      </x:c>
      <x:c r="C71" s="313" t="str">
        <x:v>Уменьшаться.</x:v>
      </x:c>
    </x:row>
    <x:row r="72" ht="15" hidden="0" customHeight="1">
      <x:c r="A72" s="308" t="n">
        <x:v>71</x:v>
      </x:c>
      <x:c r="B72" s="313" t="str">
        <x:v>C</x:v>
      </x:c>
      <x:c r="C72" s="313" t="str">
        <x:v>Оставаться неизменным.</x:v>
      </x:c>
    </x:row>
    <x:row r="73" ht="15" hidden="0" customHeight="1">
      <x:c r="A73" s="308" t="n">
        <x:v>72</x:v>
      </x:c>
      <x:c r="B73" s="313" t="str">
        <x:v>C</x:v>
      </x:c>
      <x:c r="C73" s="313" t="str">
        <x:v>Оставаться неизменным.</x:v>
      </x:c>
    </x:row>
    <x:row r="74" ht="15" hidden="0" customHeight="1">
      <x:c r="A74" s="308" t="n">
        <x:v>73</x:v>
      </x:c>
      <x:c r="B74" s="313" t="str">
        <x:v>B</x:v>
      </x:c>
      <x:c r="C74" s="313" t="str">
        <x:v>Давление под газовой пачкой постоянно.</x:v>
      </x:c>
    </x:row>
    <x:row r="75" ht="15" hidden="0" customHeight="1">
      <x:c r="A75" s="308" t="n">
        <x:v>74</x:v>
      </x:c>
      <x:c r="B75" s="313" t="str">
        <x:v>B</x:v>
      </x:c>
      <x:c r="C75" s="313" t="str">
        <x:v>Да.</x:v>
      </x:c>
    </x:row>
    <x:row r="76" ht="15" hidden="0" customHeight="1">
      <x:c r="A76" s="308" t="n">
        <x:v>75</x:v>
      </x:c>
      <x:c r="B76" s="313" t="str">
        <x:v>E</x:v>
      </x:c>
      <x:c r="C76" s="313" t="str">
        <x:v>Плашечные.</x:v>
      </x:c>
    </x:row>
    <x:row r="77" ht="15" hidden="0" customHeight="1">
      <x:c r="A77" s="308" t="n">
        <x:v>76</x:v>
      </x:c>
      <x:c r="B77" s="313" t="str">
        <x:v>C</x:v>
      </x:c>
      <x:c r="C77" s="313" t="str">
        <x:v>Увеличить плотность бурового раствора на некоторую величину.</x:v>
      </x:c>
    </x:row>
    <x:row r="78" ht="15" hidden="0" customHeight="1">
      <x:c r="A78" s="308" t="n">
        <x:v>77</x:v>
      </x:c>
      <x:c r="B78" s="313" t="str">
        <x:v>A</x:v>
      </x:c>
      <x:c r="C78" s="313" t="str">
        <x:v>Увеличение расхода бурового раствора, выходящего из скважины.</x:v>
      </x:c>
    </x:row>
    <x:row r="79" ht="15" hidden="0" customHeight="1">
      <x:c r="A79" s="308" t="n">
        <x:v>78</x:v>
      </x:c>
      <x:c r="B79" s="313" t="str">
        <x:v>D</x:v>
      </x:c>
      <x:c r="C79" s="313" t="str">
        <x:v>4. Все вышеперечисленные действия.</x:v>
      </x:c>
    </x:row>
    <x:row r="80" ht="26.399999618530273" hidden="0" customHeight="1">
      <x:c r="A80" s="308" t="n">
        <x:v>79</x:v>
      </x:c>
      <x:c r="B80" s="313" t="str">
        <x:v>A</x:v>
      </x:c>
      <x:c r="C80" s="313" t="str">
        <x:v>Навернуть полностью открытый КШЦ, затем закрыть его, открыть гидроуправляемую задвижку и закрыть превентор, закрыть дроссель и задвижку перед дросселем.</x:v>
      </x:c>
    </x:row>
    <x:row r="81" ht="39.599998474121094" hidden="0" customHeight="1">
      <x:c r="A81" s="308" t="n">
        <x:v>80</x:v>
      </x:c>
      <x:c r="B81" s="313" t="str">
        <x:v>C</x:v>
      </x:c>
      <x:c r="C81" s="313" t="str">
        <x:v>Медленно начать циркуляцию либо до стабилизации давления в бурильных трубах, либо до увеличения давления в затрубном пространстве с целью определения давления в бурильных трубах закрытой скважины.</x:v>
      </x:c>
    </x:row>
    <x:row r="82" ht="15" hidden="0" customHeight="1">
      <x:c r="A82" s="308" t="n">
        <x:v>81</x:v>
      </x:c>
      <x:c r="B82" s="313" t="str">
        <x:v>B</x:v>
      </x:c>
      <x:c r="C82" s="313" t="str">
        <x:v>Эксплуатация скважин без превышения назначенного технологического режима.</x:v>
      </x:c>
    </x:row>
    <x:row r="83" ht="26.399999618530273" hidden="0" customHeight="1">
      <x:c r="A83" s="308" t="n">
        <x:v>82</x:v>
      </x:c>
      <x:c r="B83" s="313" t="str">
        <x:v>C</x:v>
      </x:c>
      <x:c r="C83" s="313" t="str">
        <x:v>Поддерживать давление в бурильных трубах постоянным, сбрасывая буровой раствор через дроссель.</x:v>
      </x:c>
    </x:row>
    <x:row r="84" ht="15" hidden="0" customHeight="1">
      <x:c r="A84" s="308" t="n">
        <x:v>83</x:v>
      </x:c>
      <x:c r="B84" s="313" t="str">
        <x:v>C</x:v>
      </x:c>
      <x:c r="C84" s="313" t="str">
        <x:v>То же самое.</x:v>
      </x:c>
    </x:row>
    <x:row r="85" ht="15" hidden="0" customHeight="1">
      <x:c r="A85" s="308" t="n">
        <x:v>84</x:v>
      </x:c>
      <x:c r="B85" s="313" t="str">
        <x:v>C</x:v>
      </x:c>
      <x:c r="C85" s="313" t="str">
        <x:v>50,6 атм</x:v>
      </x:c>
    </x:row>
    <x:row r="86" ht="15" hidden="0" customHeight="1">
      <x:c r="A86" s="308" t="n">
        <x:v>85</x:v>
      </x:c>
      <x:c r="B86" s="313" t="str">
        <x:v>C</x:v>
      </x:c>
      <x:c r="C86" s="313" t="str">
        <x:v>Останется неизменным.</x:v>
      </x:c>
    </x:row>
    <x:row r="87" ht="15" hidden="0" customHeight="1">
      <x:c r="A87" s="308" t="n">
        <x:v>86</x:v>
      </x:c>
      <x:c r="B87" s="313" t="str">
        <x:v>A</x:v>
      </x:c>
      <x:c r="C87" s="313" t="str">
        <x:v>0 атм</x:v>
      </x:c>
    </x:row>
    <x:row r="88" ht="15" hidden="0" customHeight="1">
      <x:c r="A88" s="308" t="n">
        <x:v>87</x:v>
      </x:c>
      <x:c r="B88" s="313" t="str">
        <x:v>A</x:v>
      </x:c>
      <x:c r="C88" s="313" t="str">
        <x:v>17,4 атм</x:v>
      </x:c>
    </x:row>
    <x:row r="89" ht="26.399999618530273" hidden="0" customHeight="1">
      <x:c r="A89" s="308" t="n">
        <x:v>88</x:v>
      </x:c>
      <x:c r="B89" s="313" t="str">
        <x:v>B</x:v>
      </x:c>
      <x:c r="C89" s="313" t="str">
        <x:v>Поддержание постоянного забойного давления слегка (5–10 атм) выше пластового давления во время всей операции по контролю скважины.</x:v>
      </x:c>
    </x:row>
    <x:row r="90" ht="26.399999618530273" hidden="0" customHeight="1">
      <x:c r="A90" s="308" t="n">
        <x:v>89</x:v>
      </x:c>
      <x:c r="B90" s="313" t="str">
        <x:v>C</x:v>
      </x:c>
      <x:c r="C90" s="313" t="str">
        <x:v>До тех пор пока процесс глушения ведется правильно, давление в скважине под газовой пачкой будет оставаться постоянным.</x:v>
      </x:c>
    </x:row>
    <x:row r="91" ht="15" hidden="0" customHeight="1">
      <x:c r="A91" s="308" t="n">
        <x:v>90</x:v>
      </x:c>
      <x:c r="B91" s="313" t="str">
        <x:v>B</x:v>
      </x:c>
      <x:c r="C91" s="313" t="str">
        <x:v>Как минимум равно пластовому давлению.</x:v>
      </x:c>
    </x:row>
    <x:row r="92" ht="15" hidden="0" customHeight="1">
      <x:c r="A92" s="308" t="n">
        <x:v>91</x:v>
      </x:c>
      <x:c r="B92" s="313" t="str">
        <x:v>A</x:v>
      </x:c>
      <x:c r="C92" s="313" t="str">
        <x:v>Увеличиваться.</x:v>
      </x:c>
    </x:row>
    <x:row r="93" ht="15" hidden="0" customHeight="1">
      <x:c r="A93" s="308" t="n">
        <x:v>92</x:v>
      </x:c>
      <x:c r="B93" s="313" t="str">
        <x:v>A</x:v>
      </x:c>
      <x:c r="C93" s="313" t="str">
        <x:v>Увеличивается.</x:v>
      </x:c>
    </x:row>
    <x:row r="94" ht="15" hidden="0" customHeight="1">
      <x:c r="A94" s="308" t="n">
        <x:v>93</x:v>
      </x:c>
      <x:c r="B94" s="313" t="str">
        <x:v>B</x:v>
      </x:c>
      <x:c r="C94" s="313" t="str">
        <x:v>После поступления раствора в бурильные трубы.</x:v>
      </x:c>
    </x:row>
    <x:row r="95" ht="15" hidden="0" customHeight="1">
      <x:c r="A95" s="308" t="n">
        <x:v>94</x:v>
      </x:c>
      <x:c r="B95" s="313" t="str">
        <x:v>C</x:v>
      </x:c>
      <x:c r="C95" s="313" t="str">
        <x:v>Закроете шаровый кран колонны бурильных труб, затем закроете дроссель.</x:v>
      </x:c>
    </x:row>
    <x:row r="96" ht="15" hidden="0" customHeight="1">
      <x:c r="A96" s="308" t="n">
        <x:v>95</x:v>
      </x:c>
      <x:c r="B96" s="313" t="str">
        <x:v>A</x:v>
      </x:c>
      <x:c r="C96" s="313" t="str">
        <x:v>Частичная закупорка (засорение дросселя).</x:v>
      </x:c>
    </x:row>
    <x:row r="97" ht="15" hidden="0" customHeight="1">
      <x:c r="A97" s="308" t="n">
        <x:v>96</x:v>
      </x:c>
      <x:c r="B97" s="313" t="str">
        <x:v>B</x:v>
      </x:c>
      <x:c r="C97" s="313" t="str">
        <x:v>Частичный промыв дросселя.</x:v>
      </x:c>
    </x:row>
    <x:row r="98" ht="15" hidden="0" customHeight="1">
      <x:c r="A98" s="308" t="n">
        <x:v>97</x:v>
      </x:c>
      <x:c r="B98" s="313" t="str">
        <x:v>C</x:v>
      </x:c>
      <x:c r="C98" s="313" t="str">
        <x:v>Закупорка (засорение) насадки долота.</x:v>
      </x:c>
    </x:row>
    <x:row r="99" ht="15" hidden="0" customHeight="1">
      <x:c r="A99" s="308" t="n">
        <x:v>98</x:v>
      </x:c>
      <x:c r="B99" s="313" t="str">
        <x:v>D</x:v>
      </x:c>
      <x:c r="C99" s="313" t="str">
        <x:v>Промыв бурильной колонны, промыв насадок долота.</x:v>
      </x:c>
    </x:row>
    <x:row r="100" ht="15" hidden="0" customHeight="1">
      <x:c r="A100" s="308" t="n">
        <x:v>99</x:v>
      </x:c>
      <x:c r="B100" s="313" t="str">
        <x:v>E</x:v>
      </x:c>
      <x:c r="C100" s="313" t="str">
        <x:v>Частичное поглощение бурового раствора.</x:v>
      </x:c>
    </x:row>
    <x:row r="101" ht="52.79999923706055" hidden="0" customHeight="1">
      <x:c r="A101" s="308" t="n">
        <x:v>100</x:v>
      </x:c>
      <x:c r="B101" s="313" t="str">
        <x:v>A</x:v>
      </x:c>
      <x:c r="C101" s="313" t="str">
        <x:v>Сообщить об аварии на пульт, руководству цеха (промысла), принять меры по предотвращению возгорания фонтанирующей струи и взрыва газа в местах его скопления, для чего устранить возможные источники огня (заглушить ДВС, отключить силовые и осветительные линии электропитания и т.п.).</x:v>
      </x:c>
    </x:row>
    <x:row r="102" ht="15" hidden="0" customHeight="1">
      <x:c r="A102" s="308" t="n">
        <x:v>101</x:v>
      </x:c>
      <x:c r="B102" s="313" t="str">
        <x:v>A</x:v>
      </x:c>
      <x:c r="C102" s="313" t="str">
        <x:v>Несоответствие пластового давления глубине залегания залежи</x:v>
      </x:c>
    </x:row>
    <x:row r="103" ht="15" hidden="0" customHeight="1">
      <x:c r="A103" s="308" t="n">
        <x:v>102</x:v>
      </x:c>
      <x:c r="B103" s="313" t="str">
        <x:v>C</x:v>
      </x:c>
      <x:c r="C103" s="313" t="str">
        <x:v>Для разобщения трубного и затрубного пространств</x:v>
      </x:c>
    </x:row>
    <x:row r="104" ht="15" hidden="0" customHeight="1">
      <x:c r="A104" s="308" t="n">
        <x:v>103</x:v>
      </x:c>
      <x:c r="B104" s="313" t="str">
        <x:v>C</x:v>
      </x:c>
      <x:c r="C104" s="313" t="str">
        <x:v>Кондуктор, промежуточная и эксплуатационная колонна</x:v>
      </x:c>
    </x:row>
    <x:row r="105" ht="15" hidden="0" customHeight="1">
      <x:c r="A105" s="308" t="n">
        <x:v>104</x:v>
      </x:c>
      <x:c r="B105" s="313" t="str">
        <x:v>D</x:v>
      </x:c>
      <x:c r="C105" s="313" t="str">
        <x:v>На давление опрессовки последней спущенной обсадной колонны</x:v>
      </x:c>
    </x:row>
    <x:row r="106" ht="92.4000015258789" hidden="0" customHeight="1">
      <x:c r="A106" s="308" t="n">
        <x:v>105</x:v>
      </x:c>
      <x:c r="B106" s="313" t="str">
        <x:v>A</x:v>
      </x:c>
      <x:c r="C106" s="313" t="str">
        <x:v>О - обвязка,
К - колонная,
К - клиновая,
1 - на клинья подвешена одна колонна,
210 - рабочее давление,
219 - диаметр эксплуатационной колонны,
324 - диаметр кондуктора</x:v>
      </x:c>
    </x:row>
    <x:row r="107" ht="39.599998474121094" hidden="0" customHeight="1">
      <x:c r="A107" s="308" t="n">
        <x:v>106</x:v>
      </x:c>
      <x:c r="B107" s="313" t="str">
        <x:v>C</x:v>
      </x:c>
      <x:c r="C107" s="313" t="str">
        <x:v>Для снижения давления в различных полостях задвижек, для контроля за набивкой смазкой полостей задвижки, а также набивки пасты в сальниковые узлы оборудования</x:v>
      </x:c>
    </x:row>
    <x:row r="108" ht="39.599998474121094" hidden="0" customHeight="1">
      <x:c r="A108" s="308" t="n">
        <x:v>107</x:v>
      </x:c>
      <x:c r="B108" s="313" t="str">
        <x:v>A</x:v>
      </x:c>
      <x:c r="C108" s="313" t="str">
        <x:v>ППУ – не ближе 25м от емкости, электрооборудование исполнено во взрывоопасном исполнении, емкость располагается не менее чем в 10 метрах от устья скважины с наветренной стороны!</x:v>
      </x:c>
    </x:row>
    <x:row r="109" ht="15" hidden="0" customHeight="1">
      <x:c r="A109" s="308" t="n">
        <x:v>108</x:v>
      </x:c>
      <x:c r="B109" s="313" t="str">
        <x:v>B</x:v>
      </x:c>
      <x:c r="C109" s="313" t="str">
        <x:v>Несоблюдение графика обследования скважин</x:v>
      </x:c>
    </x:row>
    <x:row r="110" ht="26.399999618530273" hidden="0" customHeight="1">
      <x:c r="A110" s="308" t="n">
        <x:v>109</x:v>
      </x:c>
      <x:c r="B110" s="313" t="str">
        <x:v>C</x:v>
      </x:c>
      <x:c r="C110" s="313" t="str">
        <x:v>Правильностью и целесообразностью, обдуманностью и решительностью, качественное оказание помощи;</x:v>
      </x:c>
    </x:row>
    <x:row r="111" ht="15" hidden="0" customHeight="1">
      <x:c r="A111" s="308" t="n">
        <x:v>110</x:v>
      </x:c>
      <x:c r="B111" s="313" t="str">
        <x:v>D</x:v>
      </x:c>
      <x:c r="C111" s="313" t="str">
        <x:v>0,8 - 1,2 литра</x:v>
      </x:c>
    </x:row>
    <x:row r="112" ht="15" hidden="0" customHeight="1">
      <x:c r="A112" s="308" t="n">
        <x:v>111</x:v>
      </x:c>
      <x:c r="B112" s="313" t="str">
        <x:v>B</x:v>
      </x:c>
      <x:c r="C112" s="313" t="str">
        <x:v>Освобождение дыхательных путей, ИВЛ, наружный массаж сердца</x:v>
      </x:c>
    </x:row>
    <x:row r="113" ht="15" hidden="0" customHeight="1">
      <x:c r="A113" s="308" t="n">
        <x:v>112</x:v>
      </x:c>
      <x:c r="B113" s="313" t="str">
        <x:v>B</x:v>
      </x:c>
      <x:c r="C113" s="313" t="str">
        <x:v>Открытый фонтан</x:v>
      </x:c>
    </x:row>
    <x:row r="114" ht="15" hidden="0" customHeight="1">
      <x:c r="A114" s="308" t="n">
        <x:v>113</x:v>
      </x:c>
      <x:c r="B114" s="313" t="str">
        <x:v>C</x:v>
      </x:c>
      <x:c r="C114" s="313" t="str">
        <x:v>Давление в газовой пачке</x:v>
      </x:c>
    </x:row>
    <x:row r="115" ht="15" hidden="0" customHeight="1">
      <x:c r="A115" s="308" t="n">
        <x:v>114</x:v>
      </x:c>
      <x:c r="B115" s="313" t="str">
        <x:v>C</x:v>
      </x:c>
      <x:c r="C115" s="313" t="str">
        <x:v>Запрещается</x:v>
      </x:c>
    </x:row>
    <x:row r="116" ht="15" hidden="0" customHeight="1">
      <x:c r="A116" s="308" t="n">
        <x:v>115</x:v>
      </x:c>
      <x:c r="B116" s="313" t="str">
        <x:v>D</x:v>
      </x:c>
      <x:c r="C116" s="313" t="str">
        <x:v>4. Перечисленные в ответах 1 и 2</x:v>
      </x:c>
    </x:row>
    <x:row r="117" ht="26.399999618530273" hidden="0" customHeight="1">
      <x:c r="A117" s="308" t="n">
        <x:v>116</x:v>
      </x:c>
      <x:c r="B117" s="313" t="str">
        <x:v>C</x:v>
      </x:c>
      <x:c r="C117" s="313" t="str">
        <x:v>3. Условие 1, а также с последующим внесением их в 10-дневный срок в перечень газоопасных работ</x:v>
      </x:c>
    </x:row>
    <x:row r="118" ht="15" hidden="0" customHeight="1">
      <x:c r="A118" s="308" t="n">
        <x:v>117</x:v>
      </x:c>
      <x:c r="B118" s="313" t="str">
        <x:v>E</x:v>
      </x:c>
      <x:c r="C118" s="313" t="str">
        <x:v>5. Перечисленное выше</x:v>
      </x:c>
    </x:row>
    <x:row r="119" ht="26.399999618530273" hidden="0" customHeight="1">
      <x:c r="A119" s="308" t="n">
        <x:v>118</x:v>
      </x:c>
      <x:c r="B119" s="313" t="str">
        <x:v>D</x:v>
      </x:c>
      <x:c r="C119" s="313" t="str">
        <x:v>Разрешается, но только с разрешение ответственного за проведение газоопасных работ, в соответствующих средствах защиты, надетых за пределами опасной зоны</x:v>
      </x:c>
    </x:row>
    <x:row r="120" ht="15" hidden="0" customHeight="1">
      <x:c r="A120" s="308" t="n">
        <x:v>119</x:v>
      </x:c>
      <x:c r="B120" s="313" t="str">
        <x:v>B</x:v>
      </x:c>
      <x:c r="C120" s="313" t="str">
        <x:v>Организационная причина</x:v>
      </x:c>
    </x:row>
    <x:row r="121" ht="52.79999923706055" hidden="0" customHeight="1">
      <x:c r="A121" s="308" t="n">
        <x:v>120</x:v>
      </x:c>
      <x:c r="B121" s="313" t="str">
        <x:v>B</x:v>
      </x:c>
      <x:c r="C121" s="313" t="str">
        <x:v>Инцидент, заключающийся в поступлении пластового флюида в ствол скважины, не предусмотренный режимом технологического процесса ее строительства или ремонта, создающий опасность аварии в виде неконтролируемого выброса (открытого фонтана)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18" hidden="0" customWidth="1"/>
    <x:col min="9" max="9" width="70" hidden="0" customWidth="1"/>
  </x:cols>
  <x:sheetData>
    <x:row r="1" ht="15" hidden="0" customHeight="1">
      <x:c r="A1" s="336" t="str">
        <x:v>№</x:v>
      </x:c>
      <x:c r="B1" s="336" t="str">
        <x:v>Вопрос</x:v>
      </x:c>
      <x:c r="C1" s="336" t="str">
        <x:v>A</x:v>
      </x:c>
      <x:c r="D1" s="336" t="str">
        <x:v>B</x:v>
      </x:c>
      <x:c r="E1" s="336" t="str">
        <x:v>C</x:v>
      </x:c>
      <x:c r="F1" s="336" t="str">
        <x:v>D</x:v>
      </x:c>
      <x:c r="G1" s="336" t="str">
        <x:v>E</x:v>
      </x:c>
      <x:c r="H1" s="336" t="str">
        <x:v>Правильный вариант</x:v>
      </x:c>
      <x:c r="I1" s="336" t="str">
        <x:v>Правильный ответ</x:v>
      </x:c>
    </x:row>
    <x:row r="2" ht="39.599998474121094" hidden="0" customHeight="1">
      <x:c r="A2" s="309" t="n">
        <x:v>1</x:v>
      </x:c>
      <x:c r="B2" s="309" t="str">
        <x:v>С какой периодичностью должен осуществляться контроль загазованности в рабочей зоне при проведении газоопасных работ?</x:v>
      </x:c>
      <x:c r="C2" s="309" t="str">
        <x:v>Не реже одного раза в 30 минут, с записью результатов в наряде-допуске.</x:v>
      </x:c>
      <x:c r="D2" s="309" t="str">
        <x:v>Не реже одного раза в 30 минут.</x:v>
      </x:c>
      <x:c r="E2" s="309" t="str">
        <x:v>Непрерывно, с записью результатов в наряде-допуске каждые 30 минут.</x:v>
      </x:c>
      <x:c r="F2" s="309" t="str">
        <x:v>Не реже одного раза в 10 минут.</x:v>
      </x:c>
      <x:c r="G2" s="309" t="str"/>
      <x:c r="H2" s="338" t="str">
        <x:v>C</x:v>
      </x:c>
      <x:c r="I2" s="338" t="str">
        <x:v>C. Непрерывно, с записью результатов в наряде-допуске каждые 30 минут.</x:v>
      </x:c>
    </x:row>
    <x:row r="3" ht="52.79999923706055" hidden="0" customHeight="1">
      <x:c r="A3" s="309" t="n">
        <x:v>2</x:v>
      </x:c>
      <x:c r="B3" s="309" t="str">
        <x:v>В каких случаях допускается применение фильтрующих противогазов при проведении газоопасных работ?</x:v>
      </x:c>
      <x:c r="C3" s="309" t="str">
        <x:v>При содержании кислорода в воздухе рабочей зоны выше 20%.</x:v>
      </x:c>
      <x:c r="D3" s="309" t="str">
        <x:v>При содержании в воздухе рабочей зоны кислорода выше 20% и отсутствии вредных и опасных веществ.</x:v>
      </x:c>
      <x:c r="E3" s="309" t="str">
        <x:v>При содержании в воздухе рабочей зоны кислорода ниже 20% и наличии вредных и опасных веществ.</x:v>
      </x:c>
      <x:c r="F3" s="309" t="str">
        <x:v>Использование фильтрующих противогазов при проведении газоопасных работ запрещено.</x:v>
      </x:c>
      <x:c r="G3" s="309" t="str"/>
      <x:c r="H3" s="338" t="str">
        <x:v>D</x:v>
      </x:c>
      <x:c r="I3" s="338" t="str">
        <x:v>D. Использование фильтрующих противогазов при проведении газоопасных работ запрещено.</x:v>
      </x:c>
    </x:row>
    <x:row r="4" ht="66" hidden="0" customHeight="1">
      <x:c r="A4" s="309" t="n">
        <x:v>3</x:v>
      </x:c>
      <x:c r="B4" s="309" t="str">
        <x:v>Кто организует согласование мероприятий, указанных в наряде-допуске на ведение ГОР, с представителем подразделения, уполномоченного в области производственной безопасности, а также при необходимости с руководителями взаимосвязанных структурных подразделений?</x:v>
      </x:c>
      <x:c r="C4" s="309" t="str">
        <x:v>Ответственный за подготовительные работы.</x:v>
      </x:c>
      <x:c r="D4" s="309" t="str">
        <x:v>Руководитель структурного подразделения.</x:v>
      </x:c>
      <x:c r="E4" s="309" t="str">
        <x:v>Ответственный за проведение газоопасной работы.</x:v>
      </x:c>
      <x:c r="F4" s="309" t="str">
        <x:v>Совместно ответственные за подготовительные работы и за проведение газоопасной работы.</x:v>
      </x:c>
      <x:c r="G4" s="309" t="str"/>
      <x:c r="H4" s="338" t="str">
        <x:v>B</x:v>
      </x:c>
      <x:c r="I4" s="338" t="str">
        <x:v>B. Руководитель структурного подразделения.</x:v>
      </x:c>
    </x:row>
    <x:row r="5" ht="39.599998474121094" hidden="0" customHeight="1">
      <x:c r="A5" s="309" t="n">
        <x:v>4</x:v>
      </x:c>
      <x:c r="B5" s="309" t="str">
        <x:v>Укажите состав бригады исполнителей ГОР I группы.</x:v>
      </x:c>
      <x:c r="C5" s="309" t="str">
        <x:v>Не менее одного человека, при проведении сложных работ - не менее трех человек.</x:v>
      </x:c>
      <x:c r="D5" s="309" t="str">
        <x:v>Не менее двух человек, в случаях работы в траншеях - не менее трех человек.</x:v>
      </x:c>
      <x:c r="E5" s="309" t="str">
        <x:v>Не менее двух человек, в случаях применения СИЗОД - не менее трех человек.</x:v>
      </x:c>
      <x:c r="F5" s="309" t="str">
        <x:v>Не менее двух человек.</x:v>
      </x:c>
      <x:c r="G5" s="309" t="str"/>
      <x:c r="H5" s="338" t="str">
        <x:v>C</x:v>
      </x:c>
      <x:c r="I5" s="338" t="str">
        <x:v>C. Не менее двух человек, в случаях применения СИЗОД - не менее трех человек.</x:v>
      </x:c>
    </x:row>
    <x:row r="6" ht="52.79999923706055" hidden="0" customHeight="1">
      <x:c r="A6" s="309" t="n">
        <x:v>5</x:v>
      </x:c>
      <x:c r="B6" s="309" t="str">
        <x:v>Необходимо ли указывать на схемах, приложенных к наряду-допуску, номера заглушек, которые подлежат установке/снятию в процессе выполнения ГОР?</x:v>
      </x:c>
      <x:c r="C6" s="309" t="str">
        <x:v>Нет необходимости.</x:v>
      </x:c>
      <x:c r="D6" s="309" t="str">
        <x:v>Необходимость есть только в случае использования номерных заглушек, подлежащих регистрации в журнале установки-снятия заглушек.</x:v>
      </x:c>
      <x:c r="E6" s="309" t="str">
        <x:v>Необходимо, с указанием на схеме мест установки заглушек.</x:v>
      </x:c>
      <x:c r="F6" s="309" t="str">
        <x:v>По решению ответственного за подготовительные работы.</x:v>
      </x:c>
      <x:c r="G6" s="309" t="str"/>
      <x:c r="H6" s="338" t="str">
        <x:v>C</x:v>
      </x:c>
      <x:c r="I6" s="338" t="str">
        <x:v>C. Необходимо, с указанием на схеме мест установки заглушек.</x:v>
      </x:c>
    </x:row>
    <x:row r="7" ht="39.599998474121094" hidden="0" customHeight="1">
      <x:c r="A7" s="309" t="n">
        <x:v>6</x:v>
      </x:c>
      <x:c r="B7" s="309" t="str">
        <x:v>Укажите основную опасность газообразного азота в рабочей зоне ГОР.</x:v>
      </x:c>
      <x:c r="C7" s="309" t="str">
        <x:v>Горюч, взрывоопасен.</x:v>
      </x:c>
      <x:c r="D7" s="309" t="str">
        <x:v>Азот способен вспенивать кровь при продолжительном вдыхании человеком.</x:v>
      </x:c>
      <x:c r="E7" s="309" t="str">
        <x:v>Накопление газообразного азота в воздухе рабочей зоны вызывает удушье.</x:v>
      </x:c>
      <x:c r="F7" s="309" t="str">
        <x:v>Накопление газообразного азота в воздухе рабочей зоны не опасно.</x:v>
      </x:c>
      <x:c r="G7" s="309" t="str"/>
      <x:c r="H7" s="338" t="str">
        <x:v>C</x:v>
      </x:c>
      <x:c r="I7" s="338" t="str">
        <x:v>C. Накопление газообразного азота в воздухе рабочей зоны вызывает удушье.</x:v>
      </x:c>
    </x:row>
    <x:row r="8" ht="26.399999618530273" hidden="0" customHeight="1">
      <x:c r="A8" s="309" t="n">
        <x:v>7</x:v>
      </x:c>
      <x:c r="B8" s="309" t="str">
        <x:v>До какой концентрации следует вытеснять природный газ из полости трубопровода азотом?</x:v>
      </x:c>
      <x:c r="C8" s="309" t="str">
        <x:v>До концентрации метана в смеси не более 10%.</x:v>
      </x:c>
      <x:c r="D8" s="309" t="str">
        <x:v>До концентрации метана в смеси не более 1%.</x:v>
      </x:c>
      <x:c r="E8" s="309" t="str">
        <x:v>До концентрации метана в смеси не более 2%.</x:v>
      </x:c>
      <x:c r="F8" s="309" t="str">
        <x:v>До концентрации метана в смеси не более 0,5%.</x:v>
      </x:c>
      <x:c r="G8" s="309" t="str"/>
      <x:c r="H8" s="338" t="str">
        <x:v>B</x:v>
      </x:c>
      <x:c r="I8" s="338" t="str">
        <x:v>B. До концентрации метана в смеси не более 1%.</x:v>
      </x:c>
    </x:row>
    <x:row r="9" ht="39.599998474121094" hidden="0" customHeight="1">
      <x:c r="A9" s="309" t="n">
        <x:v>8</x:v>
      </x:c>
      <x:c r="B9" s="309" t="str">
        <x:v>Что необходимо сделать при обнаружении загазованности воздуха рабочей зоны выше ПДК?</x:v>
      </x:c>
      <x:c r="C9" s="309" t="str">
        <x:v>Применить СИЗОД.</x:v>
      </x:c>
      <x:c r="D9" s="309" t="str">
        <x:v>Оповестить работников о возникновении опасности.</x:v>
      </x:c>
      <x:c r="E9" s="309" t="str">
        <x:v>Вывести работников из опасной зоны.</x:v>
      </x:c>
      <x:c r="F9" s="309" t="str">
        <x:v>Принять меры к обозначению опасной зоны.</x:v>
      </x:c>
      <x:c r="G9" s="309" t="str"/>
      <x:c r="H9" s="338" t="str">
        <x:v>A,B,C,D</x:v>
      </x:c>
      <x:c r="I9" s="338" t="str">
        <x:v>A. Применить СИЗОД. + B. Оповестить работников о возникновении опасности. + C. Вывести работников из опасной зоны. + D. Принять меры к обозначению опасной зоны.</x:v>
      </x:c>
    </x:row>
    <x:row r="10" ht="26.399999618530273" hidden="0" customHeight="1">
      <x:c r="A10" s="309" t="n">
        <x:v>9</x:v>
      </x:c>
      <x:c r="B10" s="309" t="str">
        <x:v>В течении какого времени действителен наряд-допуск на газоопасные работы?</x:v>
      </x:c>
      <x:c r="C10" s="309" t="str">
        <x:v>В течение семи смен.</x:v>
      </x:c>
      <x:c r="D10" s="309" t="str">
        <x:v>В течение одной смены.</x:v>
      </x:c>
      <x:c r="E10" s="309" t="str">
        <x:v>В течение одной дневной рабочей смены.</x:v>
      </x:c>
      <x:c r="F10" s="309" t="str">
        <x:v>В течение необходимого количества смен.</x:v>
      </x:c>
      <x:c r="G10" s="309" t="str"/>
      <x:c r="H10" s="338" t="str">
        <x:v>C</x:v>
      </x:c>
      <x:c r="I10" s="338" t="str">
        <x:v>C. В течение одной дневной рабочей смены.</x:v>
      </x:c>
    </x:row>
    <x:row r="11" ht="52.79999923706055" hidden="0" customHeight="1">
      <x:c r="A11" s="309" t="n">
        <x:v>10</x:v>
      </x:c>
      <x:c r="B11" s="309" t="str">
        <x:v>Ответственными лицами за организацию и безопасное проведение газоопасных работ в Обществе являются:</x:v>
      </x:c>
      <x:c r="C11" s="309" t="str">
        <x:v>Генеральный директор Общества.</x:v>
      </x:c>
      <x:c r="D11" s="309" t="str">
        <x:v>Главный инженер - первый заместитель генерального директора Общества.</x:v>
      </x:c>
      <x:c r="E11" s="309" t="str">
        <x:v>Заместитель генерального директора по производству.</x:v>
      </x:c>
      <x:c r="F11" s="309" t="str">
        <x:v>Руководители производственно-технических отделов и служб администрации Общества.</x:v>
      </x:c>
      <x:c r="G11" s="309" t="str"/>
      <x:c r="H11" s="338" t="str">
        <x:v>B,D</x:v>
      </x:c>
      <x:c r="I11" s="338" t="str">
        <x:v>B. Главный инженер - первый заместитель генерального директора Общества. + D. Руководители производственно-технических отделов и служб администрации Общества.</x:v>
      </x:c>
    </x:row>
    <x:row r="12" ht="39.599998474121094" hidden="0" customHeight="1">
      <x:c r="A12" s="309" t="n">
        <x:v>11</x:v>
      </x:c>
      <x:c r="B12" s="309" t="str">
        <x:v>На какой высоте должны отбираться пробы воздуха при величине отношения плотности газов и паров к плотности воздуха менее 1?</x:v>
      </x:c>
      <x:c r="C12" s="309" t="str">
        <x:v>На высоте от 1,3 до 1,8 м.</x:v>
      </x:c>
      <x:c r="D12" s="309" t="str">
        <x:v>На высоте от 1,0 до 1,5 м.</x:v>
      </x:c>
      <x:c r="E12" s="309" t="str">
        <x:v>На высоте от 0,2 до 1 м.</x:v>
      </x:c>
      <x:c r="F12" s="309" t="str">
        <x:v>На высоте не более 0,5 м над площадкой обслуживания.</x:v>
      </x:c>
      <x:c r="G12" s="309" t="str"/>
      <x:c r="H12" s="338" t="str">
        <x:v>A</x:v>
      </x:c>
      <x:c r="I12" s="338" t="str">
        <x:v>A. На высоте от 1,3 до 1,8 м.</x:v>
      </x:c>
    </x:row>
    <x:row r="13" ht="39.599998474121094" hidden="0" customHeight="1">
      <x:c r="A13" s="309" t="n">
        <x:v>12</x:v>
      </x:c>
      <x:c r="B13" s="309" t="str">
        <x:v>Как подбирается толщина заглушек, располагаемых между фланцами при проведении газоопасных работ?</x:v>
      </x:c>
      <x:c r="C13" s="309" t="str">
        <x:v>Из расчета на максимально возможное давление, но не менее 3 мм.</x:v>
      </x:c>
      <x:c r="D13" s="309" t="str">
        <x:v>В зависимости от агрессивности и рабочего давления среды.</x:v>
      </x:c>
      <x:c r="E13" s="309" t="str">
        <x:v>Толщина заглушки не менее 5 мм.</x:v>
      </x:c>
      <x:c r="F13" s="309" t="str">
        <x:v>Основным критерием подбора является возможность быстрой установки и снятия заглушки.</x:v>
      </x:c>
      <x:c r="G13" s="309" t="str"/>
      <x:c r="H13" s="338" t="str">
        <x:v>A</x:v>
      </x:c>
      <x:c r="I13" s="338" t="str">
        <x:v>A. Из расчета на максимально возможное давление, но не менее 3 мм.</x:v>
      </x:c>
    </x:row>
    <x:row r="14" ht="79.19999694824219" hidden="0" customHeight="1">
      <x:c r="A14" s="309" t="n">
        <x:v>13</x:v>
      </x:c>
      <x:c r="B14" s="309" t="str">
        <x:v>С какой периодичностью должны пересматриваться и переутверждаться Перечни газоопасных работ?</x:v>
      </x:c>
      <x:c r="C14" s="309" t="str">
        <x:v>Не реже 1 раза в 3 года.</x:v>
      </x:c>
      <x:c r="D14" s="309" t="str">
        <x:v>По распоряжению главного инженера филиала.</x:v>
      </x:c>
      <x:c r="E14" s="309" t="str">
        <x:v>Не реже 1 раза в год пересматриваться и переутверждаться, а также при изменении технологического процесса и технологической схемы производства.</x:v>
      </x:c>
      <x:c r="F14" s="309" t="str">
        <x:v>При изменении технологического процесса и технологической схемы производства.</x:v>
      </x:c>
      <x:c r="G14" s="309" t="str">
        <x:v>При изменении технологического процесса.</x:v>
      </x:c>
      <x:c r="H14" s="338" t="str">
        <x:v>C</x:v>
      </x:c>
      <x:c r="I14" s="338" t="str">
        <x:v>C. Не реже 1 раза в год пересматриваться и переутверждаться, а также при изменении технологического процесса и технологической схемы производства.</x:v>
      </x:c>
    </x:row>
    <x:row r="15" ht="79.19999694824219" hidden="0" customHeight="1">
      <x:c r="A15" s="309" t="n">
        <x:v>14</x:v>
      </x:c>
      <x:c r="B15" s="309" t="str">
        <x:v>Что должен сделать ответственный за проведение газоопасной работы в случае изменения состава бригады исполнителей?</x:v>
      </x:c>
      <x:c r="C15" s="309" t="str">
        <x:v>Закрыть наряд-допуск.</x:v>
      </x:c>
      <x:c r="D15" s="309" t="str">
        <x:v>Уведомить начальника подразделения (лицо, выдавшее наряд-допуск).</x:v>
      </x:c>
      <x:c r="E15" s="309" t="str">
        <x:v>О выбывшем работнике сделать соответствующую запись в графе «Из бригады исключен: дата, время, подпись начальника подразделения» таблицы «Состав бригады и отметка о прохождении инструктажа».</x:v>
      </x:c>
      <x:c r="F15" s="309" t="str">
        <x:v>Перечисленные в п.п. 2 и 3.</x:v>
      </x:c>
      <x:c r="G15" s="309" t="str"/>
      <x:c r="H15" s="338" t="str">
        <x:v>D</x:v>
      </x:c>
      <x:c r="I15" s="338" t="str">
        <x:v>D. Перечисленные в п.п. 2 и 3.</x:v>
      </x:c>
    </x:row>
    <x:row r="16" ht="79.19999694824219" hidden="0" customHeight="1">
      <x:c r="A16" s="309" t="n">
        <x:v>15</x:v>
      </x:c>
      <x:c r="B16" s="309" t="str">
        <x:v>После выполнения каких мероприятий в состав бригады исполнителей газоопасных работ может вводиться новый работник?</x:v>
      </x:c>
      <x:c r="C16" s="309" t="str">
        <x:v>После прохождения новым работником целевого инструктажа с соответствующим оформлением в наряде-допуске с указанием фактической даты и времени допуска к работам.</x:v>
      </x:c>
      <x:c r="D16" s="309" t="str">
        <x:v>После оформления нового наряда-допуска.</x:v>
      </x:c>
      <x:c r="E16" s="309" t="str">
        <x:v>После указания в наряде-допуске даты и времени допуска к работам нового работника.</x:v>
      </x:c>
      <x:c r="F16" s="309" t="str">
        <x:v>После прохождения новым работником медицинского осмотра и целевого инструктажа с соответствующим оформлением в наряде-допуске.</x:v>
      </x:c>
      <x:c r="G16" s="309" t="str"/>
      <x:c r="H16" s="338" t="str">
        <x:v>A</x:v>
      </x:c>
      <x:c r="I16" s="338" t="str">
        <x:v>A. После прохождения новым работником целевого инструктажа с соответствующим оформлением в наряде-допуске с указанием фактической даты и времени допуска к работам.</x:v>
      </x:c>
    </x:row>
    <x:row r="17" ht="26.399999618530273" hidden="0" customHeight="1">
      <x:c r="A17" s="309" t="n">
        <x:v>16</x:v>
      </x:c>
      <x:c r="B17" s="309" t="str">
        <x:v>Каким должен быть срок хранения «Журнала учета газоопасных работ, проводимых без оформления наряда-допуска»?</x:v>
      </x:c>
      <x:c r="C17" s="309" t="str">
        <x:v>Не менее 2 месяцев со дня его окончания.</x:v>
      </x:c>
      <x:c r="D17" s="309" t="str">
        <x:v>Не менее 3 месяцев со дня его окончания.</x:v>
      </x:c>
      <x:c r="E17" s="309" t="str">
        <x:v>Не менее 6 месяцев со дня его окончания.</x:v>
      </x:c>
      <x:c r="F17" s="309" t="str">
        <x:v>Не менее 1 месяца со дня его окончания.</x:v>
      </x:c>
      <x:c r="G17" s="309" t="str"/>
      <x:c r="H17" s="338" t="str">
        <x:v>C</x:v>
      </x:c>
      <x:c r="I17" s="338" t="str">
        <x:v>C. Не менее 6 месяцев со дня его окончания.</x:v>
      </x:c>
    </x:row>
    <x:row r="18" ht="105.5999984741211" hidden="0" customHeight="1">
      <x:c r="A18" s="309" t="n">
        <x:v>17</x:v>
      </x:c>
      <x:c r="B18" s="309" t="str">
        <x:v>На какие группы подразделяются плановые газоопасные работы в зависимости от степени опасности?</x:v>
      </x:c>
      <x:c r="C18" s="309" t="str">
        <x:v>I – проводимые с оформлением наряда-допуска на проведение газоопасных работ.</x:v>
      </x:c>
      <x:c r="D18" s="309" t="str">
        <x:v>II – проводимые без оформления наряда-допуска на проведение газоопасных работ, но с обязательной регистрацией таких работ перед их началом в журнале учета газоопасных работ, проводимых без оформления наряда-допуска.</x:v>
      </x:c>
      <x:c r="E18" s="309" t="str">
        <x:v>III – сложные.</x:v>
      </x:c>
      <x:c r="F18" s="309" t="str">
        <x:v>IV – комплексные.</x:v>
      </x:c>
      <x:c r="G18" s="309" t="str"/>
      <x:c r="H18" s="338" t="str">
        <x:v>A,B</x:v>
      </x:c>
      <x:c r="I18" s="338" t="str">
        <x:v>A. I – проводимые с оформлением наряда-допуска на проведение газоопасных работ. + B. II – проводимые без оформления наряда-допуска на проведение газоопасных работ, но с обязательной регистрацией таких работ перед их началом в журнале учета газоопасных работ, проводимых без оформления наряда-допуска.</x:v>
      </x:c>
    </x:row>
    <x:row r="19" ht="198" hidden="0" customHeight="1">
      <x:c r="A19" s="309" t="n">
        <x:v>18</x:v>
      </x:c>
      <x:c r="B19" s="309" t="str">
        <x:v>Для подготовки объектов, какие меры должны быть приняты по уменьшению степени опасности газоопасной работ?</x:v>
      </x:c>
      <x:c r="C19" s="309" t="str">
        <x:v>Снять давление на участке производства работ, привести управление запорной арматурой на технологических трубопроводах и оборудовании в состояние, не допускающее самопроизвольную или ошибочную перестановку этой арматуры (посредством снятия ручных штурвалов или механически их заблокировать при помощи блокировочных устройств), для исключения поступления из основных и смежных технологических систем вредных и взрывоопасных продуктов.</x:v>
      </x:c>
      <x:c r="D19" s="309" t="str">
        <x:v>Установить инвентарные стальные заглушки, располагаемые между фланцами трубопроводов, на пневмогидроприводных кранах - стравить импульсный газ, снять шланги (импульсные трубки) с пневмогидроприводов и убрать их, а штуцеры заглушить, убрать чеки (штыри) кранов, служащие для их перевода с автоматического управления на ручное.</x:v>
      </x:c>
      <x:c r="E19" s="309" t="str">
        <x:v>Вывесить соответствующие знаки безопасности и плакаты «Не открывать», «Не закрывать» (где это необходимо), «Газоопасные работы».</x:v>
      </x:c>
      <x:c r="F19" s="309" t="str">
        <x:v>Устранить утечки вредных и взрывоопасных продуктов, удалить вредные и взрывоопасные продукты из рабочей зоны.</x:v>
      </x:c>
      <x:c r="G19" s="309" t="str"/>
      <x:c r="H19" s="338" t="str">
        <x:v>A,B,C,D</x:v>
      </x:c>
      <x:c r="I19" s="338" t="str">
        <x:v>A. Снять давление на участке производства работ, привести управление запорной арматурой на технологических трубопроводах и оборудовании в состояние, не допускающее самопроизвольную или ошибочную перестановку этой арматуры (посредством снятия ручных штурвалов или механически их заблокировать при помощи блокировочных устройств), для исключения поступления из основных и смежных технологических систем вредных и взрывоопасных продуктов. + B. Установить инвентарные стальные заглушки, располагаемые между фланцами трубопроводов, на пневмогидроприводных кранах - стравить импульсный газ, снять шланги (импульсные трубки) с пневмогидроприводов и убрать их, а штуцеры заглушить, убрать чеки (штыри) кранов, служащие для их перевода с автоматического управления на ручное. + C. Вывесить соответствующие знаки безопасности и плакаты «Не открывать», «Не закрывать» (где это необходимо), «Газоопасные работы». + D. Устранить утечки вредных и взрывоопасных продуктов, удалить вредные и взрывоопасные продукты из рабочей зоны.</x:v>
      </x:c>
    </x:row>
    <x:row r="20" ht="118.80000305175781" hidden="0" customHeight="1">
      <x:c r="A20" s="309" t="n">
        <x:v>19</x:v>
      </x:c>
      <x:c r="B20" s="309" t="str">
        <x:v>Каким образом допускается отключение газового оборудования без установки заглушек?</x:v>
      </x:c>
      <x:c r="C20" s="309" t="str">
        <x:v>Отключение газового оборудования без установки заглушек не допускается ни при каких условиях.</x:v>
      </x:c>
      <x:c r="D20" s="309" t="str">
        <x:v>Путем закрытия двух последовательно установленных запорных кранов (задвижек) при условии наличия свечи между ними и обеспечения надежного отключения приводов запорной арматуры.</x:v>
      </x:c>
      <x:c r="E20" s="309" t="str">
        <x:v>Путем закрытия двух последовательно установленных запорных кранов (задвижек) при условии наличия манометра между ними для постоянного контроля давления на участке между кранами (задвижками) и обеспечения надежного отключения приводов запорной арматуры.</x:v>
      </x:c>
      <x:c r="F20" s="309" t="str">
        <x:v>Перечисленное в п.п. 2 или 3.</x:v>
      </x:c>
      <x:c r="G20" s="309" t="str"/>
      <x:c r="H20" s="338" t="str">
        <x:v>B</x:v>
      </x:c>
      <x:c r="I20" s="338" t="str">
        <x:v>B. Путем закрытия двух последовательно установленных запорных кранов (задвижек) при условии наличия свечи между ними и обеспечения надежного отключения приводов запорной арматуры.</x:v>
      </x:c>
    </x:row>
    <x:row r="21" ht="39.599998474121094" hidden="0" customHeight="1">
      <x:c r="A21" s="309" t="n">
        <x:v>20</x:v>
      </x:c>
      <x:c r="B21" s="309" t="str">
        <x:v>Какие факторы необходимо учитывать при отборе проб воздуха?</x:v>
      </x:c>
      <x:c r="C21" s="309" t="str">
        <x:v>Направление потока воздуха в помещениях и направление ветра на открытых площадках.</x:v>
      </x:c>
      <x:c r="D21" s="309" t="str">
        <x:v>Температура окружающего воздуха и отбираемой пробы.</x:v>
      </x:c>
      <x:c r="E21" s="309" t="str">
        <x:v>Конструктивные особенности оборудования.</x:v>
      </x:c>
      <x:c r="F21" s="309" t="str">
        <x:v>Рельеф местности вблизи открытой площадки, ее застройку.</x:v>
      </x:c>
      <x:c r="G21" s="309" t="str">
        <x:v>Все перечисленные в п.п. 1-4.</x:v>
      </x:c>
      <x:c r="H21" s="338" t="str">
        <x:v>E</x:v>
      </x:c>
      <x:c r="I21" s="338" t="str">
        <x:v>E. Все перечисленные в п.п. 1-4.</x:v>
      </x:c>
    </x:row>
    <x:row r="22" ht="92.4000015258789" hidden="0" customHeight="1">
      <x:c r="A22" s="309" t="n">
        <x:v>21</x:v>
      </x:c>
      <x:c r="B22" s="309" t="str">
        <x:v>Кто назначается ответственным за проведение газоопасной работы?</x:v>
      </x:c>
      <x:c r="C22" s="309" t="str">
        <x:v>Специалист структурного подразделения, в ведении которого находится эксплуатационный персонал данного объекта.</x:v>
      </x:c>
      <x:c r="D22" s="309" t="str">
        <x:v>Специалист или руководитель структурного подразделения, не занятый на период проведения такой работы ведением технологического процесса и знающий способы безопасного проведения газоопасных работ.</x:v>
      </x:c>
      <x:c r="E22" s="309" t="str">
        <x:v>Руководитель подразделения.</x:v>
      </x:c>
      <x:c r="F22" s="309" t="str">
        <x:v>Лицо, назначенное руководителем подразделения.</x:v>
      </x:c>
      <x:c r="G22" s="309" t="str">
        <x:v>Лицо, ответственное за безопасное ведение технологического процесса на данном объекте.</x:v>
      </x:c>
      <x:c r="H22" s="338" t="str">
        <x:v>B</x:v>
      </x:c>
      <x:c r="I22" s="338" t="str">
        <x:v>B. Специалист или руководитель структурного подразделения, не занятый на период проведения такой работы ведением технологического процесса и знающий способы безопасного проведения газоопасных работ.</x:v>
      </x:c>
    </x:row>
    <x:row r="23" ht="92.4000015258789" hidden="0" customHeight="1">
      <x:c r="A23" s="309" t="n">
        <x:v>22</x:v>
      </x:c>
      <x:c r="B23" s="309" t="str">
        <x:v>Какие дополнительные мероприятия должны быть включены в наряд-допуск при выполнении работ в ночную смену?</x:v>
      </x:c>
      <x:c r="C23" s="309" t="str">
        <x:v>Информирование (с записью в журнале телефонограмм или другой оперативной документации) ПАСС.</x:v>
      </x:c>
      <x:c r="D23" s="309" t="str">
        <x:v>Обеспечение достаточного освещения рабочего места (зоны проведения работ), наличие основного и аварийного освещения, установка дополнительного осветительного оборудования (при необходимости).</x:v>
      </x:c>
      <x:c r="E23" s="309" t="str">
        <x:v>Проведение работ при постоянном присутствии лица, ответственного за проведение работ.</x:v>
      </x:c>
      <x:c r="F23" s="309" t="str">
        <x:v>Ответы 1 - 3 совместно.</x:v>
      </x:c>
      <x:c r="G23" s="309" t="str"/>
      <x:c r="H23" s="338" t="str">
        <x:v>D</x:v>
      </x:c>
      <x:c r="I23" s="338" t="str">
        <x:v>D. Ответы 1 - 3 совместно.</x:v>
      </x:c>
    </x:row>
    <x:row r="24" ht="66" hidden="0" customHeight="1">
      <x:c r="A24" s="309" t="n">
        <x:v>23</x:v>
      </x:c>
      <x:c r="B24" s="309" t="str">
        <x:v>Кто утверждает специальную инструкцию и План проведения газоопасных работ по первоначальному заполнению природным газом технологического оборудования и коммуникаций вводимого объекта?</x:v>
      </x:c>
      <x:c r="C24" s="309" t="str">
        <x:v>Начальник управления.</x:v>
      </x:c>
      <x:c r="D24" s="309" t="str">
        <x:v>Главный инженер управления или заместитель начальника управления по производству.</x:v>
      </x:c>
      <x:c r="E24" s="309" t="str">
        <x:v>Главный инженер - первый заместитель генерального директора Общества или заместитель генерального директора по производству.</x:v>
      </x:c>
      <x:c r="F24" s="309" t="str">
        <x:v>Заместитель главного инженера Общества по охране труда промышленной и пожарной безопасности.</x:v>
      </x:c>
      <x:c r="G24" s="309" t="str">
        <x:v>Генеральный директор Общества.</x:v>
      </x:c>
      <x:c r="H24" s="338" t="str">
        <x:v>C</x:v>
      </x:c>
      <x:c r="I24" s="338" t="str">
        <x:v>C. Главный инженер - первый заместитель генерального директора Общества или заместитель генерального директора по производству.</x:v>
      </x:c>
    </x:row>
    <x:row r="25" ht="52.79999923706055" hidden="0" customHeight="1">
      <x:c r="A25" s="309" t="n">
        <x:v>24</x:v>
      </x:c>
      <x:c r="B25" s="309" t="str">
        <x:v>Кто согласовывает перечни газоопасных работ?</x:v>
      </x:c>
      <x:c r="C25" s="309" t="str">
        <x:v>Главный инженер филиала.</x:v>
      </x:c>
      <x:c r="D25" s="309" t="str">
        <x:v>Структурные подразделения, на которые возложены данные полномочия.</x:v>
      </x:c>
      <x:c r="E25" s="309" t="str">
        <x:v>С собственной ПАСС, аттестованной на ведение газоспасательных работ, либо ПАСС, с которой заключен договор на обслуживание.</x:v>
      </x:c>
      <x:c r="F25" s="309" t="str">
        <x:v>Лица, назначенные ответственными за осуществление производственного контроля в филиале.</x:v>
      </x:c>
      <x:c r="G25" s="309" t="str"/>
      <x:c r="H25" s="338" t="str">
        <x:v>C,D</x:v>
      </x:c>
      <x:c r="I25" s="338" t="str">
        <x:v>C. С собственной ПАСС, аттестованной на ведение газоспасательных работ, либо ПАСС, с которой заключен договор на обслуживание. + D. Лица, назначенные ответственными за осуществление производственного контроля в филиале.</x:v>
      </x:c>
    </x:row>
    <x:row r="26" ht="52.79999923706055" hidden="0" customHeight="1">
      <x:c r="A26" s="309" t="n">
        <x:v>25</x:v>
      </x:c>
      <x:c r="B26" s="309" t="str">
        <x:v>На какой срок выдается наряд-допуск при выполнении в составе плановых ремонтных работ объекта?</x:v>
      </x:c>
      <x:c r="C26" s="309" t="str">
        <x:v>На весь период проведения ремонтных работ.</x:v>
      </x:c>
      <x:c r="D26" s="309" t="str">
        <x:v>На 15 дней работ с ежедневным продлением не более чем на одну рабочую смену.</x:v>
      </x:c>
      <x:c r="E26" s="309" t="str">
        <x:v>Только на одну дневную смену с ежедневным продлением не более чем на одну рабочую смену.</x:v>
      </x:c>
      <x:c r="F26" s="309" t="str">
        <x:v>На период, указанный в плане ремонтных работ.</x:v>
      </x:c>
      <x:c r="G26" s="309" t="str">
        <x:v>На весь период проведения ремонтных работ с ежедневным продлением не более чем на одну рабочую смену.</x:v>
      </x:c>
      <x:c r="H26" s="338" t="str">
        <x:v>E</x:v>
      </x:c>
      <x:c r="I26" s="338" t="str">
        <x:v>E. На весь период проведения ремонтных работ с ежедневным продлением не более чем на одну рабочую смену.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85" hidden="0" customWidth="1"/>
  </x:cols>
  <x:sheetData>
    <x:row r="1" ht="15" hidden="0" customHeight="1">
      <x:c r="A1" s="336" t="str">
        <x:v>№</x:v>
      </x:c>
      <x:c r="B1" s="336" t="str">
        <x:v>Правильный вариант</x:v>
      </x:c>
      <x:c r="C1" s="336" t="str">
        <x:v>Правильный ответ</x:v>
      </x:c>
    </x:row>
    <x:row r="2" ht="15" hidden="0" customHeight="1">
      <x:c r="A2" s="308" t="n">
        <x:v>1</x:v>
      </x:c>
      <x:c r="B2" s="340" t="str">
        <x:v>C</x:v>
      </x:c>
      <x:c r="C2" s="340" t="str">
        <x:v>C. Непрерывно, с записью результатов в наряде-допуске каждые 30 минут.</x:v>
      </x:c>
    </x:row>
    <x:row r="3" ht="15" hidden="0" customHeight="1">
      <x:c r="A3" s="308" t="n">
        <x:v>2</x:v>
      </x:c>
      <x:c r="B3" s="340" t="str">
        <x:v>D</x:v>
      </x:c>
      <x:c r="C3" s="340" t="str">
        <x:v>D. Использование фильтрующих противогазов при проведении газоопасных работ запрещено.</x:v>
      </x:c>
    </x:row>
    <x:row r="4" ht="15" hidden="0" customHeight="1">
      <x:c r="A4" s="308" t="n">
        <x:v>3</x:v>
      </x:c>
      <x:c r="B4" s="340" t="str">
        <x:v>B</x:v>
      </x:c>
      <x:c r="C4" s="340" t="str">
        <x:v>B. Руководитель структурного подразделения.</x:v>
      </x:c>
    </x:row>
    <x:row r="5" ht="15" hidden="0" customHeight="1">
      <x:c r="A5" s="308" t="n">
        <x:v>4</x:v>
      </x:c>
      <x:c r="B5" s="340" t="str">
        <x:v>C</x:v>
      </x:c>
      <x:c r="C5" s="340" t="str">
        <x:v>C. Не менее двух человек, в случаях применения СИЗОД - не менее трех человек.</x:v>
      </x:c>
    </x:row>
    <x:row r="6" ht="15" hidden="0" customHeight="1">
      <x:c r="A6" s="308" t="n">
        <x:v>5</x:v>
      </x:c>
      <x:c r="B6" s="340" t="str">
        <x:v>C</x:v>
      </x:c>
      <x:c r="C6" s="340" t="str">
        <x:v>C. Необходимо, с указанием на схеме мест установки заглушек.</x:v>
      </x:c>
    </x:row>
    <x:row r="7" ht="15" hidden="0" customHeight="1">
      <x:c r="A7" s="308" t="n">
        <x:v>6</x:v>
      </x:c>
      <x:c r="B7" s="340" t="str">
        <x:v>C</x:v>
      </x:c>
      <x:c r="C7" s="340" t="str">
        <x:v>C. Накопление газообразного азота в воздухе рабочей зоны вызывает удушье.</x:v>
      </x:c>
    </x:row>
    <x:row r="8" ht="15" hidden="0" customHeight="1">
      <x:c r="A8" s="308" t="n">
        <x:v>7</x:v>
      </x:c>
      <x:c r="B8" s="340" t="str">
        <x:v>B</x:v>
      </x:c>
      <x:c r="C8" s="340" t="str">
        <x:v>B. До концентрации метана в смеси не более 1%.</x:v>
      </x:c>
    </x:row>
    <x:row r="9" ht="26.399999618530273" hidden="0" customHeight="1">
      <x:c r="A9" s="308" t="n">
        <x:v>8</x:v>
      </x:c>
      <x:c r="B9" s="340" t="str">
        <x:v>A,B,C,D</x:v>
      </x:c>
      <x:c r="C9" s="340" t="str">
        <x:v>A. Применить СИЗОД. + B. Оповестить работников о возникновении опасности. + C. Вывести работников из опасной зоны. + D. Принять меры к обозначению опасной зоны.</x:v>
      </x:c>
    </x:row>
    <x:row r="10" ht="15" hidden="0" customHeight="1">
      <x:c r="A10" s="308" t="n">
        <x:v>9</x:v>
      </x:c>
      <x:c r="B10" s="340" t="str">
        <x:v>C</x:v>
      </x:c>
      <x:c r="C10" s="340" t="str">
        <x:v>C. В течение одной дневной рабочей смены.</x:v>
      </x:c>
    </x:row>
    <x:row r="11" ht="26.399999618530273" hidden="0" customHeight="1">
      <x:c r="A11" s="308" t="n">
        <x:v>10</x:v>
      </x:c>
      <x:c r="B11" s="340" t="str">
        <x:v>B,D</x:v>
      </x:c>
      <x:c r="C11" s="340" t="str">
        <x:v>B. Главный инженер - первый заместитель генерального директора Общества. + D. Руководители производственно-технических отделов и служб администрации Общества.</x:v>
      </x:c>
    </x:row>
    <x:row r="12" ht="15" hidden="0" customHeight="1">
      <x:c r="A12" s="308" t="n">
        <x:v>11</x:v>
      </x:c>
      <x:c r="B12" s="340" t="str">
        <x:v>A</x:v>
      </x:c>
      <x:c r="C12" s="340" t="str">
        <x:v>A. На высоте от 1,3 до 1,8 м.</x:v>
      </x:c>
    </x:row>
    <x:row r="13" ht="15" hidden="0" customHeight="1">
      <x:c r="A13" s="308" t="n">
        <x:v>12</x:v>
      </x:c>
      <x:c r="B13" s="340" t="str">
        <x:v>A</x:v>
      </x:c>
      <x:c r="C13" s="340" t="str">
        <x:v>A. Из расчета на максимально возможное давление, но не менее 3 мм.</x:v>
      </x:c>
    </x:row>
    <x:row r="14" ht="26.399999618530273" hidden="0" customHeight="1">
      <x:c r="A14" s="308" t="n">
        <x:v>13</x:v>
      </x:c>
      <x:c r="B14" s="340" t="str">
        <x:v>C</x:v>
      </x:c>
      <x:c r="C14" s="340" t="str">
        <x:v>C. Не реже 1 раза в год пересматриваться и переутверждаться, а также при изменении технологического процесса и технологической схемы производства.</x:v>
      </x:c>
    </x:row>
    <x:row r="15" ht="15" hidden="0" customHeight="1">
      <x:c r="A15" s="308" t="n">
        <x:v>14</x:v>
      </x:c>
      <x:c r="B15" s="340" t="str">
        <x:v>D</x:v>
      </x:c>
      <x:c r="C15" s="340" t="str">
        <x:v>D. Перечисленные в п.п. 2 и 3.</x:v>
      </x:c>
    </x:row>
    <x:row r="16" ht="26.399999618530273" hidden="0" customHeight="1">
      <x:c r="A16" s="308" t="n">
        <x:v>15</x:v>
      </x:c>
      <x:c r="B16" s="340" t="str">
        <x:v>A</x:v>
      </x:c>
      <x:c r="C16" s="340" t="str">
        <x:v>A. После прохождения новым работником целевого инструктажа с соответствующим оформлением в наряде-допуске с указанием фактической даты и времени допуска к работам.</x:v>
      </x:c>
    </x:row>
    <x:row r="17" ht="15" hidden="0" customHeight="1">
      <x:c r="A17" s="308" t="n">
        <x:v>16</x:v>
      </x:c>
      <x:c r="B17" s="340" t="str">
        <x:v>C</x:v>
      </x:c>
      <x:c r="C17" s="340" t="str">
        <x:v>C. Не менее 6 месяцев со дня его окончания.</x:v>
      </x:c>
    </x:row>
    <x:row r="18" ht="52.79999923706055" hidden="0" customHeight="1">
      <x:c r="A18" s="308" t="n">
        <x:v>17</x:v>
      </x:c>
      <x:c r="B18" s="340" t="str">
        <x:v>A,B</x:v>
      </x:c>
      <x:c r="C18" s="340" t="str">
        <x:v>A. I – проводимые с оформлением наряда-допуска на проведение газоопасных работ. + B. II – проводимые без оформления наряда-допуска на проведение газоопасных работ, но с обязательной регистрацией таких работ перед их началом в журнале учета газоопасных работ, проводимых без оформления наряда-допуска.</x:v>
      </x:c>
    </x:row>
    <x:row r="19" ht="145.1999969482422" hidden="0" customHeight="1">
      <x:c r="A19" s="308" t="n">
        <x:v>18</x:v>
      </x:c>
      <x:c r="B19" s="340" t="str">
        <x:v>A,B,C,D</x:v>
      </x:c>
      <x:c r="C19" s="340" t="str">
        <x:v>A. Снять давление на участке производства работ, привести управление запорной арматурой на технологических трубопроводах и оборудовании в состояние, не допускающее самопроизвольную или ошибочную перестановку этой арматуры (посредством снятия ручных штурвалов или механически их заблокировать при помощи блокировочных устройств), для исключения поступления из основных и смежных технологических систем вредных и взрывоопасных продуктов. + B. Установить инвентарные стальные заглушки, располагаемые между фланцами трубопроводов, на пневмогидроприводных кранах - стравить импульсный газ, снять шланги (импульсные трубки) с пневмогидроприводов и убрать их, а штуцеры заглушить, убрать чеки (штыри) кранов, служащие для их перевода с автоматического управления на ручное. + C. Вывесить соответствующие знаки безопасности и плакаты «Не открывать», «Не закрывать» (где это необходимо), «Газоопасные работы». + D. Устранить утечки вредных и взрывоопасных продуктов, удалить вредные и взрывоопасные продукты из рабочей зоны.</x:v>
      </x:c>
    </x:row>
    <x:row r="20" ht="26.399999618530273" hidden="0" customHeight="1">
      <x:c r="A20" s="308" t="n">
        <x:v>19</x:v>
      </x:c>
      <x:c r="B20" s="340" t="str">
        <x:v>B</x:v>
      </x:c>
      <x:c r="C20" s="340" t="str">
        <x:v>B. Путем закрытия двух последовательно установленных запорных кранов (задвижек) при условии наличия свечи между ними и обеспечения надежного отключения приводов запорной арматуры.</x:v>
      </x:c>
    </x:row>
    <x:row r="21" ht="15" hidden="0" customHeight="1">
      <x:c r="A21" s="308" t="n">
        <x:v>20</x:v>
      </x:c>
      <x:c r="B21" s="340" t="str">
        <x:v>E</x:v>
      </x:c>
      <x:c r="C21" s="340" t="str">
        <x:v>E. Все перечисленные в п.п. 1-4.</x:v>
      </x:c>
    </x:row>
    <x:row r="22" ht="39.599998474121094" hidden="0" customHeight="1">
      <x:c r="A22" s="308" t="n">
        <x:v>21</x:v>
      </x:c>
      <x:c r="B22" s="340" t="str">
        <x:v>B</x:v>
      </x:c>
      <x:c r="C22" s="340" t="str">
        <x:v>B. Специалист или руководитель структурного подразделения, не занятый на период проведения такой работы ведением технологического процесса и знающий способы безопасного проведения газоопасных работ.</x:v>
      </x:c>
    </x:row>
    <x:row r="23" ht="15" hidden="0" customHeight="1">
      <x:c r="A23" s="308" t="n">
        <x:v>22</x:v>
      </x:c>
      <x:c r="B23" s="340" t="str">
        <x:v>D</x:v>
      </x:c>
      <x:c r="C23" s="340" t="str">
        <x:v>D. Ответы 1 - 3 совместно.</x:v>
      </x:c>
    </x:row>
    <x:row r="24" ht="26.399999618530273" hidden="0" customHeight="1">
      <x:c r="A24" s="308" t="n">
        <x:v>23</x:v>
      </x:c>
      <x:c r="B24" s="340" t="str">
        <x:v>C</x:v>
      </x:c>
      <x:c r="C24" s="340" t="str">
        <x:v>C. Главный инженер - первый заместитель генерального директора Общества или заместитель генерального директора по производству.</x:v>
      </x:c>
    </x:row>
    <x:row r="25" ht="39.599998474121094" hidden="0" customHeight="1">
      <x:c r="A25" s="308" t="n">
        <x:v>24</x:v>
      </x:c>
      <x:c r="B25" s="340" t="str">
        <x:v>C,D</x:v>
      </x:c>
      <x:c r="C25" s="340" t="str">
        <x:v>C. С собственной ПАСС, аттестованной на ведение газоспасательных работ, либо ПАСС, с которой заключен договор на обслуживание. + D. Лица, назначенные ответственными за осуществление производственного контроля в филиале.</x:v>
      </x:c>
    </x:row>
    <x:row r="26" ht="26.399999618530273" hidden="0" customHeight="1">
      <x:c r="A26" s="308" t="n">
        <x:v>25</x:v>
      </x:c>
      <x:c r="B26" s="340" t="str">
        <x:v>E</x:v>
      </x:c>
      <x:c r="C26" s="340" t="str">
        <x:v>E. На весь период проведения ремонтных работ с ежедневным продлением не более чем на одну рабочую смену.</x:v>
      </x:c>
    </x:row>
  </x:sheetData>
  <x:pageMargins left="0.7" right="0.7" top="0.75" bottom="0.75" header="0.3" footer="0.3"/>
</x:worksheet>
</file>